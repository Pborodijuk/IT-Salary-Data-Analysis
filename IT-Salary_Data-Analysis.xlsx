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92825F8F-53B2-4832-A259-068D60015335}" xr6:coauthVersionLast="47" xr6:coauthVersionMax="47" xr10:uidLastSave="{00000000-0000-0000-0000-000000000000}"/>
  <bookViews>
    <workbookView xWindow="28680" yWindow="1470" windowWidth="29040" windowHeight="15840" tabRatio="945" firstSheet="1" activeTab="8" xr2:uid="{00000000-000D-0000-FFFF-FFFF00000000}"/>
  </bookViews>
  <sheets>
    <sheet name="ANALIZA DANYCH - MINI-PROJEKTY" sheetId="17" r:id="rId1"/>
    <sheet name="mini-projekt_opis" sheetId="37" r:id="rId2"/>
    <sheet name="zbieranie danych" sheetId="41" r:id="rId3"/>
    <sheet name="czyszczenie danych" sheetId="38" r:id="rId4"/>
    <sheet name="transformacja danych" sheetId="39" r:id="rId5"/>
    <sheet name="wizualizacja danych" sheetId="47" r:id="rId6"/>
    <sheet name="statystyki_opisowe" sheetId="53" r:id="rId7"/>
    <sheet name="analiza_korelacji" sheetId="57" r:id="rId8"/>
    <sheet name="KONCOWY RAPORT" sheetId="59" r:id="rId9"/>
  </sheets>
  <definedNames>
    <definedName name="_xlnm._FilterDatabase" localSheetId="3" hidden="1">'czyszczenie danych'!$A$1:$I$104</definedName>
    <definedName name="_xlchart.v1.0" hidden="1">'wizualizacja danych'!$P$3:$P$101</definedName>
    <definedName name="_xlchart.v1.1" hidden="1">'wizualizacja danych'!$T$2</definedName>
    <definedName name="_xlchart.v1.2" hidden="1">'wizualizacja danych'!$T$3:$T$101</definedName>
    <definedName name="_xlchart.v1.3" hidden="1">'wizualizacja danych'!$T$2</definedName>
    <definedName name="_xlchart.v1.4" hidden="1">'wizualizacja danych'!$T$3:$T$101</definedName>
    <definedName name="_xlchart.v1.5" hidden="1">'wizualizacja danych'!$U$3:$U$101</definedName>
    <definedName name="_xlchart.v1.6" hidden="1">'wizualizacja danych'!$T$2</definedName>
    <definedName name="_xlchart.v1.7" hidden="1">'wizualizacja danych'!$T$3:$T$101</definedName>
    <definedName name="_xlchart.v1.8" hidden="1">'wizualizacja danych'!$W$3:$W$101</definedName>
  </definedNames>
  <calcPr calcId="191029"/>
  <pivotCaches>
    <pivotCache cacheId="3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57" l="1"/>
  <c r="J44" i="39" l="1"/>
  <c r="J45" i="39"/>
  <c r="J46" i="39"/>
  <c r="J47" i="39"/>
  <c r="J48" i="39"/>
  <c r="J49" i="39"/>
  <c r="J50" i="39"/>
  <c r="J51" i="39"/>
  <c r="J52" i="39"/>
  <c r="J53" i="39"/>
  <c r="J54" i="39"/>
  <c r="J55" i="39"/>
  <c r="J56" i="39"/>
  <c r="J57" i="39"/>
  <c r="J58" i="39"/>
  <c r="J59" i="39"/>
  <c r="J60" i="39"/>
  <c r="J61" i="39"/>
  <c r="J62" i="39"/>
  <c r="J63" i="39"/>
  <c r="J64" i="39"/>
  <c r="J65" i="39"/>
  <c r="J66" i="39"/>
  <c r="J67" i="39"/>
  <c r="J68" i="39"/>
  <c r="J69" i="39"/>
  <c r="J70" i="39"/>
  <c r="J71" i="39"/>
  <c r="J72" i="39"/>
  <c r="J73" i="39"/>
  <c r="J74" i="39"/>
  <c r="J75" i="39"/>
  <c r="J76" i="39"/>
  <c r="J77" i="39"/>
  <c r="J78" i="39"/>
  <c r="J79" i="39"/>
  <c r="J80" i="39"/>
  <c r="J81" i="39"/>
  <c r="J82" i="39"/>
  <c r="J83" i="39"/>
  <c r="J84" i="39"/>
  <c r="J85" i="39"/>
  <c r="J86" i="39"/>
  <c r="J87" i="39"/>
  <c r="J88" i="39"/>
  <c r="J89" i="39"/>
  <c r="J90" i="39"/>
  <c r="J91" i="39"/>
  <c r="J92" i="39"/>
  <c r="J93" i="39"/>
  <c r="J94" i="39"/>
  <c r="J95" i="39"/>
  <c r="J96" i="39"/>
  <c r="J97" i="39"/>
  <c r="J98" i="39"/>
  <c r="J99" i="39"/>
  <c r="J100" i="39"/>
  <c r="J101" i="39"/>
  <c r="J102" i="39"/>
  <c r="J103" i="39"/>
  <c r="J104" i="39"/>
  <c r="J105" i="39"/>
  <c r="J106" i="39"/>
  <c r="J107" i="39"/>
  <c r="J108" i="39"/>
  <c r="J109" i="39"/>
  <c r="J110" i="39"/>
  <c r="J111" i="39"/>
  <c r="J112" i="39"/>
  <c r="J113" i="39"/>
  <c r="J114" i="39"/>
  <c r="J115" i="39"/>
  <c r="J116" i="39"/>
  <c r="J117" i="39"/>
  <c r="J118" i="39"/>
  <c r="J119" i="39"/>
  <c r="J120" i="39"/>
  <c r="J121" i="39"/>
  <c r="J122" i="39"/>
  <c r="J123" i="39"/>
  <c r="J124" i="39"/>
  <c r="J125" i="39"/>
  <c r="J126" i="39"/>
  <c r="J127" i="39"/>
  <c r="J128" i="39"/>
  <c r="J129" i="39"/>
  <c r="J130" i="39"/>
  <c r="J131" i="39"/>
  <c r="J132" i="39"/>
  <c r="J133" i="39"/>
  <c r="J134" i="39"/>
  <c r="J135" i="39"/>
  <c r="J136" i="39"/>
  <c r="J137" i="39"/>
  <c r="J138" i="39"/>
  <c r="J139" i="39"/>
  <c r="J140" i="39"/>
  <c r="J141" i="39"/>
  <c r="J43" i="39"/>
  <c r="K45" i="39"/>
  <c r="K46" i="39"/>
  <c r="K47" i="39"/>
  <c r="K48" i="39"/>
  <c r="K49" i="39"/>
  <c r="K50" i="39"/>
  <c r="K51" i="39"/>
  <c r="K52" i="39"/>
  <c r="K53" i="39"/>
  <c r="K54" i="39"/>
  <c r="K55" i="39"/>
  <c r="K56" i="39"/>
  <c r="K57" i="39"/>
  <c r="K58" i="39"/>
  <c r="K59" i="39"/>
  <c r="K60" i="39"/>
  <c r="K61" i="39"/>
  <c r="K62" i="39"/>
  <c r="K63" i="39"/>
  <c r="K64" i="39"/>
  <c r="K65" i="39"/>
  <c r="K66" i="39"/>
  <c r="K67" i="39"/>
  <c r="K68" i="39"/>
  <c r="K69" i="39"/>
  <c r="K70" i="39"/>
  <c r="K71" i="39"/>
  <c r="K72" i="39"/>
  <c r="K73" i="39"/>
  <c r="K74" i="39"/>
  <c r="K75" i="39"/>
  <c r="K76" i="39"/>
  <c r="K77" i="39"/>
  <c r="K78" i="39"/>
  <c r="K79" i="39"/>
  <c r="K80" i="39"/>
  <c r="K81" i="39"/>
  <c r="K82" i="39"/>
  <c r="K83" i="39"/>
  <c r="K84" i="39"/>
  <c r="K85" i="39"/>
  <c r="K86" i="39"/>
  <c r="K87" i="39"/>
  <c r="K88" i="39"/>
  <c r="K89" i="39"/>
  <c r="K90" i="39"/>
  <c r="K91" i="39"/>
  <c r="K92" i="39"/>
  <c r="K93" i="39"/>
  <c r="K94" i="39"/>
  <c r="K95" i="39"/>
  <c r="K96" i="39"/>
  <c r="K97" i="39"/>
  <c r="K98" i="39"/>
  <c r="K99" i="39"/>
  <c r="K100" i="39"/>
  <c r="K101" i="39"/>
  <c r="K102" i="39"/>
  <c r="K103" i="39"/>
  <c r="K104" i="39"/>
  <c r="K105" i="39"/>
  <c r="K106" i="39"/>
  <c r="K107" i="39"/>
  <c r="K108" i="39"/>
  <c r="K109" i="39"/>
  <c r="K110" i="39"/>
  <c r="K111" i="39"/>
  <c r="K112" i="39"/>
  <c r="K113" i="39"/>
  <c r="K114" i="39"/>
  <c r="K115" i="39"/>
  <c r="K116" i="39"/>
  <c r="K117" i="39"/>
  <c r="K118" i="39"/>
  <c r="K119" i="39"/>
  <c r="K120" i="39"/>
  <c r="K121" i="39"/>
  <c r="K122" i="39"/>
  <c r="K123" i="39"/>
  <c r="K124" i="39"/>
  <c r="K125" i="39"/>
  <c r="K126" i="39"/>
  <c r="K127" i="39"/>
  <c r="K128" i="39"/>
  <c r="K129" i="39"/>
  <c r="K130" i="39"/>
  <c r="K131" i="39"/>
  <c r="K132" i="39"/>
  <c r="K133" i="39"/>
  <c r="K134" i="39"/>
  <c r="K135" i="39"/>
  <c r="K136" i="39"/>
  <c r="K137" i="39"/>
  <c r="K138" i="39"/>
  <c r="K139" i="39"/>
  <c r="K140" i="39"/>
  <c r="K141" i="39"/>
  <c r="K43" i="39"/>
  <c r="K44" i="39"/>
  <c r="I44" i="39"/>
  <c r="I45" i="39"/>
  <c r="I46" i="39"/>
  <c r="I47" i="39"/>
  <c r="I48" i="39"/>
  <c r="I49" i="39"/>
  <c r="I50" i="39"/>
  <c r="I51" i="39"/>
  <c r="I52" i="39"/>
  <c r="I53" i="39"/>
  <c r="I54" i="39"/>
  <c r="I55" i="39"/>
  <c r="I56" i="39"/>
  <c r="I57" i="39"/>
  <c r="I58" i="39"/>
  <c r="I59" i="39"/>
  <c r="I60" i="39"/>
  <c r="I61" i="39"/>
  <c r="I62" i="39"/>
  <c r="I63" i="39"/>
  <c r="I64" i="39"/>
  <c r="I65" i="39"/>
  <c r="I66" i="39"/>
  <c r="I67" i="39"/>
  <c r="I68" i="39"/>
  <c r="I69" i="39"/>
  <c r="I70" i="39"/>
  <c r="I71" i="39"/>
  <c r="I72" i="39"/>
  <c r="I73" i="39"/>
  <c r="I74" i="39"/>
  <c r="I75" i="39"/>
  <c r="I76" i="39"/>
  <c r="I77" i="39"/>
  <c r="I78" i="39"/>
  <c r="I79" i="39"/>
  <c r="I80" i="39"/>
  <c r="I81" i="39"/>
  <c r="I82" i="39"/>
  <c r="I83" i="39"/>
  <c r="I84" i="39"/>
  <c r="I85" i="39"/>
  <c r="I86" i="39"/>
  <c r="I87" i="39"/>
  <c r="I88" i="39"/>
  <c r="I89" i="39"/>
  <c r="I90" i="39"/>
  <c r="I91" i="39"/>
  <c r="I92" i="39"/>
  <c r="I93" i="39"/>
  <c r="I94" i="39"/>
  <c r="I95" i="39"/>
  <c r="I96" i="39"/>
  <c r="I97" i="39"/>
  <c r="I98" i="39"/>
  <c r="I99" i="39"/>
  <c r="I100" i="39"/>
  <c r="I101" i="39"/>
  <c r="I102" i="39"/>
  <c r="I103" i="39"/>
  <c r="I104" i="39"/>
  <c r="I105" i="39"/>
  <c r="I106" i="39"/>
  <c r="I107" i="39"/>
  <c r="I108" i="39"/>
  <c r="I109" i="39"/>
  <c r="I110" i="39"/>
  <c r="I111" i="39"/>
  <c r="I112" i="39"/>
  <c r="I113" i="39"/>
  <c r="I114" i="39"/>
  <c r="I115" i="39"/>
  <c r="I116" i="39"/>
  <c r="I117" i="39"/>
  <c r="I118" i="39"/>
  <c r="I119" i="39"/>
  <c r="I120" i="39"/>
  <c r="I121" i="39"/>
  <c r="I122" i="39"/>
  <c r="I123" i="39"/>
  <c r="I124" i="39"/>
  <c r="I125" i="39"/>
  <c r="I126" i="39"/>
  <c r="I127" i="39"/>
  <c r="I128" i="39"/>
  <c r="I129" i="39"/>
  <c r="I130" i="39"/>
  <c r="I131" i="39"/>
  <c r="I132" i="39"/>
  <c r="I133" i="39"/>
  <c r="I134" i="39"/>
  <c r="I135" i="39"/>
  <c r="I136" i="39"/>
  <c r="I137" i="39"/>
  <c r="I138" i="39"/>
  <c r="I139" i="39"/>
  <c r="I140" i="39"/>
  <c r="I141" i="39"/>
  <c r="I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H70" i="39"/>
  <c r="H71" i="39"/>
  <c r="H72" i="39"/>
  <c r="H73" i="39"/>
  <c r="H74" i="39"/>
  <c r="H75" i="39"/>
  <c r="H76" i="39"/>
  <c r="H77" i="39"/>
  <c r="H78" i="39"/>
  <c r="H79" i="39"/>
  <c r="H80" i="39"/>
  <c r="H81" i="39"/>
  <c r="H82" i="39"/>
  <c r="H83" i="39"/>
  <c r="H84" i="39"/>
  <c r="H85" i="39"/>
  <c r="H86" i="39"/>
  <c r="H87" i="39"/>
  <c r="H88" i="39"/>
  <c r="H89" i="39"/>
  <c r="H90" i="39"/>
  <c r="H91" i="39"/>
  <c r="H92" i="39"/>
  <c r="H93" i="39"/>
  <c r="H94" i="39"/>
  <c r="H95" i="39"/>
  <c r="H96" i="39"/>
  <c r="H97" i="39"/>
  <c r="H98" i="39"/>
  <c r="H99" i="39"/>
  <c r="H100" i="39"/>
  <c r="H101" i="39"/>
  <c r="H102" i="39"/>
  <c r="H103" i="39"/>
  <c r="H104" i="39"/>
  <c r="H105" i="39"/>
  <c r="H106" i="39"/>
  <c r="H107" i="39"/>
  <c r="H108" i="39"/>
  <c r="H109" i="39"/>
  <c r="H110" i="39"/>
  <c r="H111" i="39"/>
  <c r="H112" i="39"/>
  <c r="H113" i="39"/>
  <c r="H114" i="39"/>
  <c r="H115" i="39"/>
  <c r="H116" i="39"/>
  <c r="H117" i="39"/>
  <c r="H118" i="39"/>
  <c r="H119" i="39"/>
  <c r="H120" i="39"/>
  <c r="H121" i="39"/>
  <c r="H122" i="39"/>
  <c r="H123" i="39"/>
  <c r="H124" i="39"/>
  <c r="H125" i="39"/>
  <c r="H126" i="39"/>
  <c r="H127" i="39"/>
  <c r="H128" i="39"/>
  <c r="H129" i="39"/>
  <c r="H130" i="39"/>
  <c r="H131" i="39"/>
  <c r="H132" i="39"/>
  <c r="H133" i="39"/>
  <c r="H134" i="39"/>
  <c r="H135" i="39"/>
  <c r="H136" i="39"/>
  <c r="H137" i="39"/>
  <c r="H138" i="39"/>
  <c r="H139" i="39"/>
  <c r="H140" i="39"/>
  <c r="H141" i="39"/>
  <c r="H43" i="39"/>
  <c r="I3" i="38"/>
  <c r="H3" i="38" s="1"/>
  <c r="I4" i="38"/>
  <c r="H4" i="38" s="1"/>
  <c r="I5" i="38"/>
  <c r="H5" i="38" s="1"/>
  <c r="I6" i="38"/>
  <c r="H6" i="38" s="1"/>
  <c r="I7" i="38"/>
  <c r="H7" i="38" s="1"/>
  <c r="I8" i="38"/>
  <c r="H8" i="38" s="1"/>
  <c r="I9" i="38"/>
  <c r="H9" i="38" s="1"/>
  <c r="I10" i="38"/>
  <c r="H10" i="38" s="1"/>
  <c r="I11" i="38"/>
  <c r="H11" i="38" s="1"/>
  <c r="I12" i="38"/>
  <c r="H12" i="38" s="1"/>
  <c r="I13" i="38"/>
  <c r="H13" i="38" s="1"/>
  <c r="I14" i="38"/>
  <c r="H14" i="38" s="1"/>
  <c r="I15" i="38"/>
  <c r="H15" i="38" s="1"/>
  <c r="I16" i="38"/>
  <c r="H16" i="38" s="1"/>
  <c r="I17" i="38"/>
  <c r="H17" i="38" s="1"/>
  <c r="I18" i="38"/>
  <c r="H18" i="38" s="1"/>
  <c r="I19" i="38"/>
  <c r="H19" i="38" s="1"/>
  <c r="I20" i="38"/>
  <c r="H20" i="38" s="1"/>
  <c r="I21" i="38"/>
  <c r="H21" i="38" s="1"/>
  <c r="I22" i="38"/>
  <c r="H22" i="38" s="1"/>
  <c r="I23" i="38"/>
  <c r="H23" i="38" s="1"/>
  <c r="I24" i="38"/>
  <c r="H24" i="38" s="1"/>
  <c r="I25" i="38"/>
  <c r="H25" i="38" s="1"/>
  <c r="I26" i="38"/>
  <c r="H26" i="38" s="1"/>
  <c r="I27" i="38"/>
  <c r="H27" i="38" s="1"/>
  <c r="I28" i="38"/>
  <c r="H28" i="38" s="1"/>
  <c r="I29" i="38"/>
  <c r="H29" i="38" s="1"/>
  <c r="I30" i="38"/>
  <c r="H30" i="38" s="1"/>
  <c r="I31" i="38"/>
  <c r="H31" i="38" s="1"/>
  <c r="I32" i="38"/>
  <c r="H32" i="38" s="1"/>
  <c r="I33" i="38"/>
  <c r="H33" i="38" s="1"/>
  <c r="I34" i="38"/>
  <c r="H34" i="38" s="1"/>
  <c r="I35" i="38"/>
  <c r="H35" i="38" s="1"/>
  <c r="I36" i="38"/>
  <c r="H36" i="38" s="1"/>
  <c r="I37" i="38"/>
  <c r="H37" i="38" s="1"/>
  <c r="I38" i="38"/>
  <c r="H38" i="38" s="1"/>
  <c r="I39" i="38"/>
  <c r="H39" i="38" s="1"/>
  <c r="I40" i="38"/>
  <c r="H40" i="38" s="1"/>
  <c r="I41" i="38"/>
  <c r="H41" i="38" s="1"/>
  <c r="I42" i="38"/>
  <c r="H42" i="38" s="1"/>
  <c r="I43" i="38"/>
  <c r="H43" i="38" s="1"/>
  <c r="I44" i="38"/>
  <c r="H44" i="38" s="1"/>
  <c r="I45" i="38"/>
  <c r="H45" i="38" s="1"/>
  <c r="I46" i="38"/>
  <c r="H46" i="38" s="1"/>
  <c r="I47" i="38"/>
  <c r="H47" i="38" s="1"/>
  <c r="I48" i="38"/>
  <c r="H48" i="38" s="1"/>
  <c r="I49" i="38"/>
  <c r="H49" i="38" s="1"/>
  <c r="I50" i="38"/>
  <c r="H50" i="38" s="1"/>
  <c r="I51" i="38"/>
  <c r="H51" i="38" s="1"/>
  <c r="I52" i="38"/>
  <c r="H52" i="38" s="1"/>
  <c r="I53" i="38"/>
  <c r="H53" i="38" s="1"/>
  <c r="I54" i="38"/>
  <c r="H54" i="38" s="1"/>
  <c r="I55" i="38"/>
  <c r="H55" i="38" s="1"/>
  <c r="I56" i="38"/>
  <c r="H56" i="38" s="1"/>
  <c r="I57" i="38"/>
  <c r="H57" i="38" s="1"/>
  <c r="I58" i="38"/>
  <c r="H58" i="38" s="1"/>
  <c r="I59" i="38"/>
  <c r="H59" i="38" s="1"/>
  <c r="I60" i="38"/>
  <c r="H60" i="38" s="1"/>
  <c r="I61" i="38"/>
  <c r="H61" i="38" s="1"/>
  <c r="I62" i="38"/>
  <c r="H62" i="38" s="1"/>
  <c r="I63" i="38"/>
  <c r="H63" i="38" s="1"/>
  <c r="I64" i="38"/>
  <c r="H64" i="38" s="1"/>
  <c r="I65" i="38"/>
  <c r="H65" i="38" s="1"/>
  <c r="I66" i="38"/>
  <c r="H66" i="38" s="1"/>
  <c r="I67" i="38"/>
  <c r="H67" i="38" s="1"/>
  <c r="I68" i="38"/>
  <c r="H68" i="38" s="1"/>
  <c r="I69" i="38"/>
  <c r="H69" i="38" s="1"/>
  <c r="I70" i="38"/>
  <c r="H70" i="38" s="1"/>
  <c r="I71" i="38"/>
  <c r="H71" i="38" s="1"/>
  <c r="I72" i="38"/>
  <c r="H72" i="38" s="1"/>
  <c r="I73" i="38"/>
  <c r="H73" i="38" s="1"/>
  <c r="I74" i="38"/>
  <c r="H74" i="38" s="1"/>
  <c r="I75" i="38"/>
  <c r="H75" i="38" s="1"/>
  <c r="I76" i="38"/>
  <c r="H76" i="38" s="1"/>
  <c r="I77" i="38"/>
  <c r="H77" i="38" s="1"/>
  <c r="I78" i="38"/>
  <c r="H78" i="38" s="1"/>
  <c r="I79" i="38"/>
  <c r="H79" i="38" s="1"/>
  <c r="I80" i="38"/>
  <c r="H80" i="38" s="1"/>
  <c r="I81" i="38"/>
  <c r="H81" i="38" s="1"/>
  <c r="I82" i="38"/>
  <c r="H82" i="38" s="1"/>
  <c r="I83" i="38"/>
  <c r="H83" i="38" s="1"/>
  <c r="I84" i="38"/>
  <c r="H84" i="38" s="1"/>
  <c r="I85" i="38"/>
  <c r="H85" i="38" s="1"/>
  <c r="I86" i="38"/>
  <c r="H86" i="38" s="1"/>
  <c r="I87" i="38"/>
  <c r="H87" i="38" s="1"/>
  <c r="I88" i="38"/>
  <c r="H88" i="38" s="1"/>
  <c r="I89" i="38"/>
  <c r="H89" i="38" s="1"/>
  <c r="I90" i="38"/>
  <c r="H90" i="38" s="1"/>
  <c r="I91" i="38"/>
  <c r="H91" i="38" s="1"/>
  <c r="I92" i="38"/>
  <c r="H92" i="38" s="1"/>
  <c r="I93" i="38"/>
  <c r="H93" i="38" s="1"/>
  <c r="I94" i="38"/>
  <c r="H94" i="38" s="1"/>
  <c r="I95" i="38"/>
  <c r="H95" i="38" s="1"/>
  <c r="I96" i="38"/>
  <c r="H96" i="38" s="1"/>
  <c r="I97" i="38"/>
  <c r="H97" i="38" s="1"/>
  <c r="I98" i="38"/>
  <c r="H98" i="38" s="1"/>
  <c r="I99" i="38"/>
  <c r="H99" i="38" s="1"/>
  <c r="I100" i="38"/>
  <c r="H100" i="38" s="1"/>
  <c r="I101" i="38"/>
  <c r="H101" i="38" s="1"/>
  <c r="I102" i="38"/>
  <c r="H102" i="38" s="1"/>
  <c r="I103" i="38"/>
  <c r="H103" i="38" s="1"/>
  <c r="I104" i="38"/>
  <c r="H104" i="38" s="1"/>
  <c r="I2" i="38"/>
  <c r="H2" i="38" s="1"/>
</calcChain>
</file>

<file path=xl/sharedStrings.xml><?xml version="1.0" encoding="utf-8"?>
<sst xmlns="http://schemas.openxmlformats.org/spreadsheetml/2006/main" count="2391" uniqueCount="69">
  <si>
    <t>ID</t>
  </si>
  <si>
    <t>Stanowisko</t>
  </si>
  <si>
    <t>Doświadczenie_lata</t>
  </si>
  <si>
    <t>Technologia</t>
  </si>
  <si>
    <t>Wynagrodzenie_brutto</t>
  </si>
  <si>
    <t>Wielkość_firmy</t>
  </si>
  <si>
    <t>Język_obcy</t>
  </si>
  <si>
    <t>Developer</t>
  </si>
  <si>
    <t>Java</t>
  </si>
  <si>
    <t>Mała</t>
  </si>
  <si>
    <t>Tak</t>
  </si>
  <si>
    <t>Senior Dev</t>
  </si>
  <si>
    <t>Python</t>
  </si>
  <si>
    <t>Duża</t>
  </si>
  <si>
    <t>SQL</t>
  </si>
  <si>
    <t>Średnia</t>
  </si>
  <si>
    <t>Nie</t>
  </si>
  <si>
    <t>Junior Data Scientist</t>
  </si>
  <si>
    <t>R</t>
  </si>
  <si>
    <t>Architect</t>
  </si>
  <si>
    <t>0.5</t>
  </si>
  <si>
    <t>b.d.</t>
  </si>
  <si>
    <t>Kontrola jakości danych</t>
  </si>
  <si>
    <t>Czy ID jest duplikatem? (tj. czy występuje więcej niż 1 raz)</t>
  </si>
  <si>
    <t>Wynagrodzenie_netto</t>
  </si>
  <si>
    <t>Wynagr_standaryzowane</t>
  </si>
  <si>
    <t>Dosw_standaryzowane</t>
  </si>
  <si>
    <t>Poziom_stanowiska</t>
  </si>
  <si>
    <t>Mid</t>
  </si>
  <si>
    <t>Senior</t>
  </si>
  <si>
    <t>Junior</t>
  </si>
  <si>
    <t>a</t>
  </si>
  <si>
    <t>b</t>
  </si>
  <si>
    <t>Rozkład jest skośny prawostronnie</t>
  </si>
  <si>
    <t>większoścć obserwacji jest w najniższym przedziale zarobkowym</t>
  </si>
  <si>
    <t>Różnica między medianami jest ogromna, seniorzy zarabiają znacznie więcej od Jniorów oraz Midów</t>
  </si>
  <si>
    <t>Suma końcowa</t>
  </si>
  <si>
    <t>Etykiety wierszy</t>
  </si>
  <si>
    <t>Średnia z Wynagrodzenie_netto</t>
  </si>
  <si>
    <t>Błąd standardowy</t>
  </si>
  <si>
    <t>Mediana</t>
  </si>
  <si>
    <t>Tryb</t>
  </si>
  <si>
    <t>Odchylenie standardowe</t>
  </si>
  <si>
    <t>Wariancja próbki</t>
  </si>
  <si>
    <t>Kurtoza</t>
  </si>
  <si>
    <t>Skośność</t>
  </si>
  <si>
    <t>Zakres</t>
  </si>
  <si>
    <t>Minimum</t>
  </si>
  <si>
    <t>Maksimum</t>
  </si>
  <si>
    <t>Suma</t>
  </si>
  <si>
    <t>Licznik</t>
  </si>
  <si>
    <t>doświadczenie</t>
  </si>
  <si>
    <t>Wynagrodzenie</t>
  </si>
  <si>
    <t>Największą rozpiętość  mają Seniorzy. To oznacza, że w tej grupie zarobki są najbardziej zróżnicowane,</t>
  </si>
  <si>
    <t>Wartości odstające pojawiają się tylko, wśród podziału na technologię, a konkretniej wśród pracujących w Pythonie</t>
  </si>
  <si>
    <t>c</t>
  </si>
  <si>
    <t>Widać wyraźny trend rosnący</t>
  </si>
  <si>
    <t>Tak, widać że zależność jest liniowa, oznacza to korelację dodatnią.</t>
  </si>
  <si>
    <t>Nie widać obserwacji wyraźnie odstających od reszty</t>
  </si>
  <si>
    <t>d</t>
  </si>
  <si>
    <t>Wyniki potwierdzają intuicję, zarobki są ściśle powiązane ze stażem, im dłużej ktoś pracuje w IT, tym więcej zarabia</t>
  </si>
  <si>
    <t>Pojawiają się obserwacje nietypowe, dokładniej wśród pracującycj w Pythonie, na wykresie to punkty ponad resztą wykresu</t>
  </si>
  <si>
    <t>Można zadać sobie pytanie, dlaczego akurat w Pythonie widać te obserwacje nietypowe, czy wielkość firmy ma wpływ na to ile zarabiają pracownicy, czy język obcy ma wpływ na zarobki</t>
  </si>
  <si>
    <t>wsp pearsona:</t>
  </si>
  <si>
    <t>Typowe wynagrodzenie developera w Warszawie to 7739zł.</t>
  </si>
  <si>
    <t>Najwyższe średnie zarobki są oferowane dla developerów używających Javy</t>
  </si>
  <si>
    <t>Wielkość firmy ma znaczenie dla wynagrodzeń, średnie zarobki w dużej firmie to około 14000, a np w małej 5000</t>
  </si>
  <si>
    <t>Rekomendacją dla kandydatów jest nauczenie się języka obcego, gdyż średnie zarobki osób które takowy umieją są o wiele większe. Później aby celował w duże firmy, gdyż płacą one najwięcej, oraz aby nauczył się Pythona albo Javy oraz aby nie zniechęcał się mniejszymi zarobkami na początku, gdyż będzie się ono zwiększało wraz ze stażem</t>
  </si>
  <si>
    <t>Doświadczenie jest bardzo ważnym czynnikiem, gdyż współczynnik korelacji Pearsona jest bardzo bliski 1 co do stażu oraz zarobków czyli wykazuje, że jeśli rośnie doświadczenie to rosną też zarobki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</si>
</sst>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0"/>
      <name val="Arial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4"/>
      <color indexed="9"/>
      <name val="Arial"/>
      <family val="2"/>
      <charset val="238"/>
    </font>
    <font>
      <sz val="10"/>
      <name val="Arial"/>
      <family val="2"/>
      <charset val="238"/>
    </font>
    <font>
      <sz val="12"/>
      <name val="Symbol"/>
      <family val="1"/>
      <charset val="2"/>
    </font>
    <font>
      <b/>
      <sz val="10"/>
      <color indexed="9"/>
      <name val="Arial"/>
      <family val="2"/>
      <charset val="238"/>
    </font>
    <font>
      <sz val="11"/>
      <color rgb="FF00000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0"/>
      <name val="MS Sans Serif"/>
      <family val="2"/>
      <charset val="238"/>
    </font>
    <font>
      <sz val="10"/>
      <name val="Arial CE"/>
      <charset val="238"/>
    </font>
    <font>
      <sz val="10"/>
      <name val="DejaVu Sans"/>
      <family val="2"/>
    </font>
    <font>
      <b/>
      <u/>
      <sz val="12"/>
      <name val="Arial"/>
      <family val="2"/>
      <charset val="238"/>
    </font>
    <font>
      <i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7" fillId="0" borderId="0"/>
    <xf numFmtId="0" fontId="4" fillId="0" borderId="0"/>
    <xf numFmtId="0" fontId="8" fillId="0" borderId="0"/>
    <xf numFmtId="0" fontId="9" fillId="0" borderId="0"/>
    <xf numFmtId="0" fontId="10" fillId="0" borderId="0"/>
    <xf numFmtId="9" fontId="4" fillId="0" borderId="0" applyFont="0" applyFill="0" applyBorder="0" applyAlignment="0" applyProtection="0"/>
    <xf numFmtId="0" fontId="11" fillId="0" borderId="0"/>
  </cellStyleXfs>
  <cellXfs count="2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13" fillId="0" borderId="3" xfId="0" applyFont="1" applyFill="1" applyBorder="1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9">
    <cellStyle name="Normal_Sheet1" xfId="5" xr:uid="{00000000-0005-0000-0000-000000000000}"/>
    <cellStyle name="Normalny" xfId="0" builtinId="0"/>
    <cellStyle name="Normalny 2" xfId="1" xr:uid="{00000000-0005-0000-0000-000002000000}"/>
    <cellStyle name="Normalny 2 2" xfId="3" xr:uid="{00000000-0005-0000-0000-000003000000}"/>
    <cellStyle name="Normalny 2 3" xfId="8" xr:uid="{00000000-0005-0000-0000-000004000000}"/>
    <cellStyle name="Normalny 3" xfId="2" xr:uid="{00000000-0005-0000-0000-000005000000}"/>
    <cellStyle name="Normalny 4" xfId="4" xr:uid="{00000000-0005-0000-0000-000006000000}"/>
    <cellStyle name="Normalny 5" xfId="6" xr:uid="{00000000-0005-0000-0000-000007000000}"/>
    <cellStyle name="Procentowy 2" xfId="7" xr:uid="{00000000-0005-0000-0000-000008000000}"/>
  </cellStyles>
  <dxfs count="0"/>
  <tableStyles count="0" defaultTableStyle="TableStyleMedium9" defaultPivotStyle="PivotStyleLight16"/>
  <colors>
    <mruColors>
      <color rgb="FFCCFFCC"/>
      <color rgb="FF00FFFF"/>
      <color rgb="FFCBC0DA"/>
      <color rgb="FF97FF97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'wizualizacja danych'!$U$2</c:f>
              <c:strCache>
                <c:ptCount val="1"/>
                <c:pt idx="0">
                  <c:v>Wynagr_standaryzowane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'wizualizacja danych'!$V$3:$V$101</c:f>
              <c:numCache>
                <c:formatCode>General</c:formatCode>
                <c:ptCount val="99"/>
                <c:pt idx="0">
                  <c:v>-0.8325092421117225</c:v>
                </c:pt>
                <c:pt idx="1">
                  <c:v>0.45931544392370893</c:v>
                </c:pt>
                <c:pt idx="2">
                  <c:v>-0.57414430490463619</c:v>
                </c:pt>
                <c:pt idx="3">
                  <c:v>-1.0908741793188088</c:v>
                </c:pt>
                <c:pt idx="4">
                  <c:v>-0.31577936769754994</c:v>
                </c:pt>
                <c:pt idx="5">
                  <c:v>1.2344102555449679</c:v>
                </c:pt>
                <c:pt idx="6">
                  <c:v>0.20095050671662265</c:v>
                </c:pt>
                <c:pt idx="7">
                  <c:v>-0.57414430490463619</c:v>
                </c:pt>
                <c:pt idx="8">
                  <c:v>-1.0908741793188088</c:v>
                </c:pt>
                <c:pt idx="9">
                  <c:v>-5.7414430490463644E-2</c:v>
                </c:pt>
                <c:pt idx="10">
                  <c:v>1.7511401299591405</c:v>
                </c:pt>
                <c:pt idx="11">
                  <c:v>0.71768038113079524</c:v>
                </c:pt>
                <c:pt idx="12">
                  <c:v>-0.8325092421117225</c:v>
                </c:pt>
                <c:pt idx="13">
                  <c:v>-1.0908741793188088</c:v>
                </c:pt>
                <c:pt idx="14">
                  <c:v>-0.31577936769754994</c:v>
                </c:pt>
                <c:pt idx="15">
                  <c:v>0.97604531833788155</c:v>
                </c:pt>
                <c:pt idx="16">
                  <c:v>-0.57414430490463619</c:v>
                </c:pt>
                <c:pt idx="17">
                  <c:v>1.4927751927520541</c:v>
                </c:pt>
                <c:pt idx="18">
                  <c:v>-0.8325092421117225</c:v>
                </c:pt>
                <c:pt idx="19">
                  <c:v>-1.220056647922352</c:v>
                </c:pt>
                <c:pt idx="20">
                  <c:v>0.45931544392370893</c:v>
                </c:pt>
                <c:pt idx="21">
                  <c:v>-5.7414430490463644E-2</c:v>
                </c:pt>
                <c:pt idx="22">
                  <c:v>-0.57414430490463619</c:v>
                </c:pt>
                <c:pt idx="23">
                  <c:v>2.0095050671662267</c:v>
                </c:pt>
                <c:pt idx="24">
                  <c:v>-1.0908741793188088</c:v>
                </c:pt>
                <c:pt idx="25">
                  <c:v>0.71768038113079524</c:v>
                </c:pt>
                <c:pt idx="26">
                  <c:v>-0.31577936769754994</c:v>
                </c:pt>
                <c:pt idx="27">
                  <c:v>-0.8325092421117225</c:v>
                </c:pt>
                <c:pt idx="28">
                  <c:v>0.20095050671662265</c:v>
                </c:pt>
                <c:pt idx="29">
                  <c:v>-0.57414430490463619</c:v>
                </c:pt>
                <c:pt idx="30">
                  <c:v>-1.0908741793188088</c:v>
                </c:pt>
                <c:pt idx="31">
                  <c:v>-5.7414430490463644E-2</c:v>
                </c:pt>
                <c:pt idx="32">
                  <c:v>0.97604531833788155</c:v>
                </c:pt>
                <c:pt idx="33">
                  <c:v>-0.8325092421117225</c:v>
                </c:pt>
                <c:pt idx="34">
                  <c:v>-0.31577936769754994</c:v>
                </c:pt>
                <c:pt idx="35">
                  <c:v>-1.0908741793188088</c:v>
                </c:pt>
                <c:pt idx="36">
                  <c:v>1.4927751927520541</c:v>
                </c:pt>
                <c:pt idx="37">
                  <c:v>-0.57414430490463619</c:v>
                </c:pt>
                <c:pt idx="38">
                  <c:v>0.45931544392370893</c:v>
                </c:pt>
                <c:pt idx="39">
                  <c:v>-5.7414430490463644E-2</c:v>
                </c:pt>
                <c:pt idx="40">
                  <c:v>-0.8325092421117225</c:v>
                </c:pt>
                <c:pt idx="41">
                  <c:v>-1.220056647922352</c:v>
                </c:pt>
                <c:pt idx="42">
                  <c:v>0.71768038113079524</c:v>
                </c:pt>
                <c:pt idx="43">
                  <c:v>-0.31577936769754994</c:v>
                </c:pt>
                <c:pt idx="44">
                  <c:v>1.7511401299591405</c:v>
                </c:pt>
                <c:pt idx="45">
                  <c:v>-0.57414430490463619</c:v>
                </c:pt>
                <c:pt idx="46">
                  <c:v>-0.8325092421117225</c:v>
                </c:pt>
                <c:pt idx="47">
                  <c:v>0.20095050671662265</c:v>
                </c:pt>
                <c:pt idx="48">
                  <c:v>-5.7414430490463644E-2</c:v>
                </c:pt>
                <c:pt idx="49">
                  <c:v>-1.0908741793188088</c:v>
                </c:pt>
                <c:pt idx="50">
                  <c:v>-0.57414430490463619</c:v>
                </c:pt>
                <c:pt idx="51">
                  <c:v>0.45931544392370893</c:v>
                </c:pt>
                <c:pt idx="52">
                  <c:v>-0.31577936769754994</c:v>
                </c:pt>
                <c:pt idx="53">
                  <c:v>1.4927751927520541</c:v>
                </c:pt>
                <c:pt idx="54">
                  <c:v>-0.8325092421117225</c:v>
                </c:pt>
                <c:pt idx="55">
                  <c:v>-1.0908741793188088</c:v>
                </c:pt>
                <c:pt idx="56">
                  <c:v>0.71768038113079524</c:v>
                </c:pt>
                <c:pt idx="57">
                  <c:v>-5.7414430490463644E-2</c:v>
                </c:pt>
                <c:pt idx="58">
                  <c:v>2.0095050671662267</c:v>
                </c:pt>
                <c:pt idx="59">
                  <c:v>-0.57414430490463619</c:v>
                </c:pt>
                <c:pt idx="60">
                  <c:v>0.20095050671662265</c:v>
                </c:pt>
                <c:pt idx="61">
                  <c:v>-0.31577936769754994</c:v>
                </c:pt>
                <c:pt idx="62">
                  <c:v>-1.0908741793188088</c:v>
                </c:pt>
                <c:pt idx="63">
                  <c:v>1.7511401299591405</c:v>
                </c:pt>
                <c:pt idx="64">
                  <c:v>-0.8325092421117225</c:v>
                </c:pt>
                <c:pt idx="65">
                  <c:v>0.97604531833788155</c:v>
                </c:pt>
                <c:pt idx="66">
                  <c:v>-5.7414430490463644E-2</c:v>
                </c:pt>
                <c:pt idx="67">
                  <c:v>-1.0908741793188088</c:v>
                </c:pt>
                <c:pt idx="68">
                  <c:v>2.2678700043733131</c:v>
                </c:pt>
                <c:pt idx="69">
                  <c:v>-0.57414430490463619</c:v>
                </c:pt>
                <c:pt idx="70">
                  <c:v>0.45931544392370893</c:v>
                </c:pt>
                <c:pt idx="71">
                  <c:v>-0.31577936769754994</c:v>
                </c:pt>
                <c:pt idx="72">
                  <c:v>-1.220056647922352</c:v>
                </c:pt>
                <c:pt idx="73">
                  <c:v>1.4927751927520541</c:v>
                </c:pt>
                <c:pt idx="74">
                  <c:v>-0.8325092421117225</c:v>
                </c:pt>
                <c:pt idx="75">
                  <c:v>0.71768038113079524</c:v>
                </c:pt>
                <c:pt idx="76">
                  <c:v>-5.7414430490463644E-2</c:v>
                </c:pt>
                <c:pt idx="77">
                  <c:v>-1.0908741793188088</c:v>
                </c:pt>
                <c:pt idx="78">
                  <c:v>2.0095050671662267</c:v>
                </c:pt>
                <c:pt idx="79">
                  <c:v>-0.57414430490463619</c:v>
                </c:pt>
                <c:pt idx="80">
                  <c:v>0.20095050671662265</c:v>
                </c:pt>
                <c:pt idx="81">
                  <c:v>-0.31577936769754994</c:v>
                </c:pt>
                <c:pt idx="82">
                  <c:v>-1.0908741793188088</c:v>
                </c:pt>
                <c:pt idx="83">
                  <c:v>1.7511401299591405</c:v>
                </c:pt>
                <c:pt idx="84">
                  <c:v>-0.8325092421117225</c:v>
                </c:pt>
                <c:pt idx="85">
                  <c:v>0.97604531833788155</c:v>
                </c:pt>
                <c:pt idx="86">
                  <c:v>-5.7414430490463644E-2</c:v>
                </c:pt>
                <c:pt idx="87">
                  <c:v>-1.220056647922352</c:v>
                </c:pt>
                <c:pt idx="88">
                  <c:v>2.2678700043733131</c:v>
                </c:pt>
                <c:pt idx="89">
                  <c:v>-0.57414430490463619</c:v>
                </c:pt>
                <c:pt idx="90">
                  <c:v>0.45931544392370893</c:v>
                </c:pt>
                <c:pt idx="91">
                  <c:v>-0.31577936769754994</c:v>
                </c:pt>
                <c:pt idx="92">
                  <c:v>-1.0908741793188088</c:v>
                </c:pt>
                <c:pt idx="93">
                  <c:v>1.4927751927520541</c:v>
                </c:pt>
                <c:pt idx="94">
                  <c:v>-0.8325092421117225</c:v>
                </c:pt>
                <c:pt idx="95">
                  <c:v>0.71768038113079524</c:v>
                </c:pt>
                <c:pt idx="96">
                  <c:v>-5.7414430490463644E-2</c:v>
                </c:pt>
                <c:pt idx="97">
                  <c:v>-1.0908741793188088</c:v>
                </c:pt>
                <c:pt idx="98">
                  <c:v>2.5262349415803995</c:v>
                </c:pt>
              </c:numCache>
            </c:numRef>
          </c:xVal>
          <c:yVal>
            <c:numRef>
              <c:f>'wizualizacja danych'!$U$3:$U$101</c:f>
              <c:numCache>
                <c:formatCode>General</c:formatCode>
                <c:ptCount val="99"/>
                <c:pt idx="0">
                  <c:v>-0.72631583853103754</c:v>
                </c:pt>
                <c:pt idx="1">
                  <c:v>0.35242418766161188</c:v>
                </c:pt>
                <c:pt idx="2">
                  <c:v>-0.6136116566900145</c:v>
                </c:pt>
                <c:pt idx="3">
                  <c:v>-1.0966295788658278</c:v>
                </c:pt>
                <c:pt idx="4">
                  <c:v>-0.35600209819624745</c:v>
                </c:pt>
                <c:pt idx="5">
                  <c:v>1.527767798289424</c:v>
                </c:pt>
                <c:pt idx="6">
                  <c:v>0.17531761619714706</c:v>
                </c:pt>
                <c:pt idx="7">
                  <c:v>-0.5170080722548519</c:v>
                </c:pt>
                <c:pt idx="8">
                  <c:v>-1.144931371083409</c:v>
                </c:pt>
                <c:pt idx="9">
                  <c:v>-0.11449313710834086</c:v>
                </c:pt>
                <c:pt idx="10">
                  <c:v>1.8980815386242142</c:v>
                </c:pt>
                <c:pt idx="11">
                  <c:v>0.59393314874951852</c:v>
                </c:pt>
                <c:pt idx="12">
                  <c:v>-0.77461763074861889</c:v>
                </c:pt>
                <c:pt idx="13">
                  <c:v>-1.0483277866482463</c:v>
                </c:pt>
                <c:pt idx="14">
                  <c:v>-0.2915997085728057</c:v>
                </c:pt>
                <c:pt idx="15">
                  <c:v>0.72273792799640202</c:v>
                </c:pt>
                <c:pt idx="16">
                  <c:v>-0.56530986447243314</c:v>
                </c:pt>
                <c:pt idx="17">
                  <c:v>1.640471980130447</c:v>
                </c:pt>
                <c:pt idx="18">
                  <c:v>-0.6780140463134563</c:v>
                </c:pt>
                <c:pt idx="19">
                  <c:v>-1.2093337607068508</c:v>
                </c:pt>
                <c:pt idx="20">
                  <c:v>0.44902777209677452</c:v>
                </c:pt>
                <c:pt idx="21">
                  <c:v>-5.0090747484899098E-2</c:v>
                </c:pt>
                <c:pt idx="22">
                  <c:v>-0.54920926706657269</c:v>
                </c:pt>
                <c:pt idx="23">
                  <c:v>2.0107857204652371</c:v>
                </c:pt>
                <c:pt idx="24">
                  <c:v>-1.1127301762716881</c:v>
                </c:pt>
                <c:pt idx="25">
                  <c:v>0.51343016172021627</c:v>
                </c:pt>
                <c:pt idx="26">
                  <c:v>-0.4043038904138288</c:v>
                </c:pt>
                <c:pt idx="27">
                  <c:v>-0.74241643593689799</c:v>
                </c:pt>
                <c:pt idx="28">
                  <c:v>0.23972000582058881</c:v>
                </c:pt>
                <c:pt idx="29">
                  <c:v>-0.59751105928415404</c:v>
                </c:pt>
                <c:pt idx="30">
                  <c:v>-1.0644283840541069</c:v>
                </c:pt>
                <c:pt idx="31">
                  <c:v>-0.19499612413764306</c:v>
                </c:pt>
                <c:pt idx="32">
                  <c:v>0.67443613577882067</c:v>
                </c:pt>
                <c:pt idx="33">
                  <c:v>-0.71021524112517709</c:v>
                </c:pt>
                <c:pt idx="34">
                  <c:v>-0.4526056826314101</c:v>
                </c:pt>
                <c:pt idx="35">
                  <c:v>-1.1610319684892694</c:v>
                </c:pt>
                <c:pt idx="36">
                  <c:v>1.7370755645656097</c:v>
                </c:pt>
                <c:pt idx="37">
                  <c:v>-0.53310866966071235</c:v>
                </c:pt>
                <c:pt idx="38">
                  <c:v>0.40072597987919323</c:v>
                </c:pt>
                <c:pt idx="39">
                  <c:v>-0.14669433192006173</c:v>
                </c:pt>
                <c:pt idx="40">
                  <c:v>-0.75851703334275844</c:v>
                </c:pt>
                <c:pt idx="41">
                  <c:v>-1.1932331633009903</c:v>
                </c:pt>
                <c:pt idx="42">
                  <c:v>0.56173195393779762</c:v>
                </c:pt>
                <c:pt idx="43">
                  <c:v>-0.339901500790387</c:v>
                </c:pt>
                <c:pt idx="44">
                  <c:v>1.8497797464066328</c:v>
                </c:pt>
                <c:pt idx="45">
                  <c:v>-0.58141046187829359</c:v>
                </c:pt>
                <c:pt idx="46">
                  <c:v>-0.69411464371931675</c:v>
                </c:pt>
                <c:pt idx="47">
                  <c:v>0.20751881100886793</c:v>
                </c:pt>
                <c:pt idx="48">
                  <c:v>-8.2291942296619985E-2</c:v>
                </c:pt>
                <c:pt idx="49">
                  <c:v>-1.1288307736775485</c:v>
                </c:pt>
                <c:pt idx="50">
                  <c:v>-0.53310866966071235</c:v>
                </c:pt>
                <c:pt idx="51">
                  <c:v>0.48122896690849543</c:v>
                </c:pt>
                <c:pt idx="52">
                  <c:v>-0.4204044878196892</c:v>
                </c:pt>
                <c:pt idx="53">
                  <c:v>1.6887737723480285</c:v>
                </c:pt>
                <c:pt idx="54">
                  <c:v>-0.66191344890759585</c:v>
                </c:pt>
                <c:pt idx="55">
                  <c:v>-1.0805289814599672</c:v>
                </c:pt>
                <c:pt idx="56">
                  <c:v>0.61003374615537898</c:v>
                </c:pt>
                <c:pt idx="57">
                  <c:v>-0.16279492932592218</c:v>
                </c:pt>
                <c:pt idx="58">
                  <c:v>2.0590875126828188</c:v>
                </c:pt>
                <c:pt idx="59">
                  <c:v>-0.56530986447243314</c:v>
                </c:pt>
                <c:pt idx="60">
                  <c:v>0.28802179803817013</c:v>
                </c:pt>
                <c:pt idx="61">
                  <c:v>-0.32380090338452661</c:v>
                </c:pt>
                <c:pt idx="62">
                  <c:v>-1.1288307736775485</c:v>
                </c:pt>
                <c:pt idx="63">
                  <c:v>1.8014779541890515</c:v>
                </c:pt>
                <c:pt idx="64">
                  <c:v>-0.6780140463134563</c:v>
                </c:pt>
                <c:pt idx="65">
                  <c:v>0.64223494096709977</c:v>
                </c:pt>
                <c:pt idx="66">
                  <c:v>-0.17889552673178263</c:v>
                </c:pt>
                <c:pt idx="67">
                  <c:v>-1.0483277866482463</c:v>
                </c:pt>
                <c:pt idx="68">
                  <c:v>2.220093486741423</c:v>
                </c:pt>
                <c:pt idx="69">
                  <c:v>-0.5170080722548519</c:v>
                </c:pt>
                <c:pt idx="70">
                  <c:v>0.46512836950263498</c:v>
                </c:pt>
                <c:pt idx="71">
                  <c:v>-0.3721026956021079</c:v>
                </c:pt>
                <c:pt idx="72">
                  <c:v>-1.1932331633009903</c:v>
                </c:pt>
                <c:pt idx="73">
                  <c:v>1.6565725775363076</c:v>
                </c:pt>
                <c:pt idx="74">
                  <c:v>-0.71021524112517709</c:v>
                </c:pt>
                <c:pt idx="75">
                  <c:v>0.62613434356123943</c:v>
                </c:pt>
                <c:pt idx="76">
                  <c:v>-0.13059373451420131</c:v>
                </c:pt>
                <c:pt idx="77">
                  <c:v>-1.1127301762716881</c:v>
                </c:pt>
                <c:pt idx="78">
                  <c:v>2.0429869152769582</c:v>
                </c:pt>
                <c:pt idx="79">
                  <c:v>-0.58141046187829359</c:v>
                </c:pt>
                <c:pt idx="80">
                  <c:v>0.32022299284989103</c:v>
                </c:pt>
                <c:pt idx="81">
                  <c:v>-0.35600209819624745</c:v>
                </c:pt>
                <c:pt idx="82">
                  <c:v>-1.0644283840541069</c:v>
                </c:pt>
                <c:pt idx="83">
                  <c:v>1.8658803438124933</c:v>
                </c:pt>
                <c:pt idx="84">
                  <c:v>-0.69411464371931675</c:v>
                </c:pt>
                <c:pt idx="85">
                  <c:v>0.65833553837296022</c:v>
                </c:pt>
                <c:pt idx="86">
                  <c:v>-0.11449313710834086</c:v>
                </c:pt>
                <c:pt idx="87">
                  <c:v>-1.1771325658951299</c:v>
                </c:pt>
                <c:pt idx="88">
                  <c:v>2.2522946815531437</c:v>
                </c:pt>
                <c:pt idx="89">
                  <c:v>-0.54920926706657269</c:v>
                </c:pt>
                <c:pt idx="90">
                  <c:v>0.41682657728505368</c:v>
                </c:pt>
                <c:pt idx="91">
                  <c:v>-0.38820329300796835</c:v>
                </c:pt>
                <c:pt idx="92">
                  <c:v>-1.1288307736775485</c:v>
                </c:pt>
                <c:pt idx="93">
                  <c:v>1.7531761619714701</c:v>
                </c:pt>
                <c:pt idx="94">
                  <c:v>-0.6780140463134563</c:v>
                </c:pt>
                <c:pt idx="95">
                  <c:v>0.57783255134365807</c:v>
                </c:pt>
                <c:pt idx="96">
                  <c:v>-0.16279492932592218</c:v>
                </c:pt>
                <c:pt idx="97">
                  <c:v>-1.0483277866482463</c:v>
                </c:pt>
                <c:pt idx="98">
                  <c:v>2.413300655611748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43-4024-A14A-96EFA0F0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219056"/>
        <c:axId val="1891010960"/>
      </c:scatterChart>
      <c:valAx>
        <c:axId val="28421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1010960"/>
        <c:crosses val="autoZero"/>
        <c:crossBetween val="midCat"/>
      </c:valAx>
      <c:valAx>
        <c:axId val="18910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421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Histogram dla wynagrodzenia netto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dla wynagrodzenia netto</a:t>
          </a:r>
        </a:p>
      </cx:txPr>
    </cx:title>
    <cx:plotArea>
      <cx:plotAreaRegion>
        <cx:series layoutId="clusteredColumn" uniqueId="{9E6110E3-74A9-403A-A42D-66072F02C770}">
          <cx:tx>
            <cx:txData>
              <cx:f>_xlchart.v1.3</cx:f>
              <cx:v>Wynagrodzenie_netto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HIstogram wynagrodzenia standaryzowanego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wynagrodzenia standaryzowanego</a:t>
          </a:r>
        </a:p>
      </cx:txPr>
    </cx:title>
    <cx:plotArea>
      <cx:plotAreaRegion>
        <cx:series layoutId="clusteredColumn" uniqueId="{AD8F0098-05E4-4640-ABB0-16AD7CBF7BB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_xlchart.v1.7</cx:f>
      </cx:numDim>
    </cx:data>
  </cx:chartData>
  <cx:chart>
    <cx:title pos="t" align="ctr" overlay="0">
      <cx:tx>
        <cx:txData>
          <cx:v>Wykres pudełkowy w podziale na Stanowisko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Wykres pudełkowy w podziale na Stanowisko</a:t>
          </a:r>
        </a:p>
      </cx:txPr>
    </cx:title>
    <cx:plotArea>
      <cx:plotAreaRegion>
        <cx:series layoutId="boxWhisker" uniqueId="{94C31B08-BFAC-402C-BAC2-E9592EA01924}">
          <cx:tx>
            <cx:txData>
              <cx:f>_xlchart.v1.6</cx:f>
              <cx:v>Wynagrodzenie_netto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Wykres pudełkowy w podziale na Technologię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Wykres pudełkowy w podziale na Technologię</a:t>
          </a:r>
        </a:p>
      </cx:txPr>
    </cx:title>
    <cx:plotArea>
      <cx:plotAreaRegion>
        <cx:series layoutId="boxWhisker" uniqueId="{C12FAC58-4729-487A-907D-7EE704F4FF60}">
          <cx:tx>
            <cx:txData>
              <cx:f>_xlchart.v1.1</cx:f>
              <cx:v>Wynagrodzenie_netto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2</xdr:rowOff>
    </xdr:from>
    <xdr:to>
      <xdr:col>14</xdr:col>
      <xdr:colOff>571500</xdr:colOff>
      <xdr:row>23</xdr:row>
      <xdr:rowOff>130969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DA3E7A8-EC78-4F35-A2F2-09EE12A674D1}"/>
            </a:ext>
          </a:extLst>
        </xdr:cNvPr>
        <xdr:cNvSpPr txBox="1"/>
      </xdr:nvSpPr>
      <xdr:spPr>
        <a:xfrm>
          <a:off x="1" y="2"/>
          <a:ext cx="9870280" cy="42386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/>
            <a:t>Zajęcia 6. Analiza danych w Excelu: mini-projekty.</a:t>
          </a:r>
        </a:p>
        <a:p>
          <a:endParaRPr lang="pl-PL" sz="1400"/>
        </a:p>
        <a:p>
          <a:pPr marL="0" indent="0"/>
          <a:r>
            <a:rPr lang="pl-PL" sz="1400" b="1">
              <a:solidFill>
                <a:schemeClr val="accent2"/>
              </a:solidFill>
              <a:latin typeface="+mn-lt"/>
              <a:ea typeface="+mn-ea"/>
              <a:cs typeface="+mn-cs"/>
            </a:rPr>
            <a:t>Przypomnij</a:t>
          </a:r>
          <a:r>
            <a:rPr lang="pl-PL" sz="1400" b="1" baseline="0">
              <a:solidFill>
                <a:schemeClr val="accent2"/>
              </a:solidFill>
              <a:latin typeface="+mn-lt"/>
              <a:ea typeface="+mn-ea"/>
              <a:cs typeface="+mn-cs"/>
            </a:rPr>
            <a:t> sobie etapy wykonywania Exploratory Data Analysis (zajęcia nr 4):</a:t>
          </a:r>
          <a:endParaRPr lang="pl-PL" sz="1400" b="1">
            <a:solidFill>
              <a:schemeClr val="accent2"/>
            </a:solidFill>
            <a:latin typeface="+mn-lt"/>
            <a:ea typeface="+mn-ea"/>
            <a:cs typeface="+mn-cs"/>
          </a:endParaRPr>
        </a:p>
        <a:p>
          <a:endParaRPr lang="pl-PL" sz="14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 Etapy wykonywania EDA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Eksploracyjna analiza danych przebiega etapowo. Każdy etap ma znaczenie i </a:t>
          </a: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nie powinien być pomijany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: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Zbieranie danych: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Pozyskiwanie danych z odpowiednich źródeł.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Czyszczenie danych: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Obsługa brakujących wartości, usuwanie duplikatów i poprawianie błędów.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Transformacja danych: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Normalizacja lub standaryzacja danych w razie potrzeby.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Wizualizacja danych: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Tworzenie wykresów (histogramy, wykresy rozrzutu, wykresy pudełkowe).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Statystyki opisowe: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Obliczanie średnich, median, dominant, odchyleń standardowych i innych miar statystycznych.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Analiza korelacji: </a:t>
          </a:r>
          <a: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Identyfikacja zależności pomiędzy zmiennymi.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kumimoji="0" lang="pl-PL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</a:b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Celem zajęć jest przeprowadzenie mini‑projektu analizy danych w Excelu,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zgodnie z kolejnymi etapami wykonywania EDA,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używając całej poznanej na zajęciach wiedzy w zakresie arkusza kalkulacyjnego.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endParaRPr lang="pl-PL" sz="1400"/>
        </a:p>
        <a:p>
          <a:pPr>
            <a:buNone/>
          </a:pPr>
          <a:br>
            <a:rPr lang="pl-PL" sz="1400"/>
          </a:br>
          <a:endParaRPr lang="pl-PL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0</xdr:row>
      <xdr:rowOff>99059</xdr:rowOff>
    </xdr:from>
    <xdr:to>
      <xdr:col>11</xdr:col>
      <xdr:colOff>209550</xdr:colOff>
      <xdr:row>25</xdr:row>
      <xdr:rowOff>114300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4932853C-82E8-D1E3-7E1C-EF7ED98C54EC}"/>
            </a:ext>
          </a:extLst>
        </xdr:cNvPr>
        <xdr:cNvSpPr txBox="1"/>
      </xdr:nvSpPr>
      <xdr:spPr>
        <a:xfrm>
          <a:off x="133349" y="99059"/>
          <a:ext cx="6781801" cy="43014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1200"/>
            </a:spcBef>
            <a:spcAft>
              <a:spcPts val="1200"/>
            </a:spcAft>
            <a:buNone/>
          </a:pPr>
          <a:r>
            <a:rPr lang="pl-PL" sz="1600" b="1" kern="0">
              <a:solidFill>
                <a:srgbClr val="2E75B6"/>
              </a:solidFill>
              <a:effectLst/>
              <a:latin typeface="Calibri" panose="020F0502020204030204" pitchFamily="34" charset="0"/>
            </a:rPr>
            <a:t>MINI-PROJEKT 1: Analiza wynagrodzeń w branży IT</a:t>
          </a:r>
        </a:p>
        <a:p>
          <a:pPr>
            <a:spcAft>
              <a:spcPts val="1200"/>
            </a:spcAft>
            <a:buNone/>
          </a:pPr>
          <a:r>
            <a:rPr lang="pl-PL" sz="1100">
              <a:effectLst/>
              <a:latin typeface="Calibri" panose="020F0502020204030204" pitchFamily="34" charset="0"/>
              <a:ea typeface="Calibri" panose="020F0502020204030204" pitchFamily="34" charset="0"/>
            </a:rPr>
            <a:t>Jesteś analitykiem w agencji rekrutacyjnej specjalizującej się w branży IT. </a:t>
          </a:r>
        </a:p>
        <a:p>
          <a:pPr>
            <a:spcAft>
              <a:spcPts val="1200"/>
            </a:spcAft>
            <a:buNone/>
          </a:pPr>
          <a:r>
            <a:rPr lang="pl-PL" sz="1100">
              <a:effectLst/>
              <a:latin typeface="Calibri" panose="020F0502020204030204" pitchFamily="34" charset="0"/>
              <a:ea typeface="Calibri" panose="020F0502020204030204" pitchFamily="34" charset="0"/>
            </a:rPr>
            <a:t>Potrzebujesz</a:t>
          </a:r>
          <a:r>
            <a:rPr lang="pl-PL" sz="1100" baseline="0">
              <a:effectLst/>
              <a:latin typeface="Calibri" panose="020F0502020204030204" pitchFamily="34" charset="0"/>
              <a:ea typeface="Calibri" panose="020F0502020204030204" pitchFamily="34" charset="0"/>
            </a:rPr>
            <a:t> danych</a:t>
          </a:r>
          <a:r>
            <a:rPr lang="pl-PL" sz="1100">
              <a:effectLst/>
              <a:latin typeface="Calibri" panose="020F0502020204030204" pitchFamily="34" charset="0"/>
              <a:ea typeface="Calibri" panose="020F0502020204030204" pitchFamily="34" charset="0"/>
            </a:rPr>
            <a:t> o specjalistach IT i data science pracujących w firmach różnej wielkości w Warszawie.</a:t>
          </a: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Potrzebne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informacje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obejmują m.in.: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stanowisko,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lata doświadczenia,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technologię (Python, R, SQL, Java),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wynagrodzenie brutto,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wielkość firmy,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znajomość języka obcego.</a:t>
          </a:r>
          <a:endParaRPr lang="pl-PL">
            <a:effectLst/>
          </a:endParaRPr>
        </a:p>
        <a:p>
          <a:pPr>
            <a:spcAft>
              <a:spcPts val="1200"/>
            </a:spcAft>
            <a:buNone/>
          </a:pPr>
          <a:endParaRPr lang="pl-PL" sz="1100">
            <a:effectLst/>
            <a:latin typeface="Calibri" panose="020F0502020204030204" pitchFamily="34" charset="0"/>
            <a:ea typeface="Calibri" panose="020F0502020204030204" pitchFamily="34" charset="0"/>
          </a:endParaRPr>
        </a:p>
        <a:p>
          <a:pPr>
            <a:spcAft>
              <a:spcPts val="1200"/>
            </a:spcAft>
            <a:buNone/>
          </a:pPr>
          <a:r>
            <a:rPr lang="pl-PL" sz="1100" b="1">
              <a:effectLst/>
              <a:latin typeface="Calibri" panose="020F0502020204030204" pitchFamily="34" charset="0"/>
              <a:ea typeface="Calibri" panose="020F0502020204030204" pitchFamily="34" charset="0"/>
            </a:rPr>
            <a:t>=&gt; Twoim zadaniem jest przygotowanie raportu o rynku wynagrodzeń, który pomoże agencji w ustalaniu stawek oraz doradztwie dla kandydatów.</a:t>
          </a:r>
        </a:p>
        <a:p>
          <a:r>
            <a:rPr lang="pl-PL" sz="1100"/>
            <a:t>W tym celu przejdź do następnego arkusza.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99056</xdr:rowOff>
    </xdr:from>
    <xdr:to>
      <xdr:col>9</xdr:col>
      <xdr:colOff>333375</xdr:colOff>
      <xdr:row>22</xdr:row>
      <xdr:rowOff>19049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1A486AE5-B073-435E-9F38-A344A191281A}"/>
            </a:ext>
          </a:extLst>
        </xdr:cNvPr>
        <xdr:cNvSpPr txBox="1"/>
      </xdr:nvSpPr>
      <xdr:spPr>
        <a:xfrm>
          <a:off x="95250" y="99056"/>
          <a:ext cx="5724525" cy="3691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Zbieranie danych: 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Pozyskiwanie danych z odpowiednich źródeł.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 sz="1100">
              <a:effectLst/>
            </a:rPr>
            <a:t>W rzeczywistym projekcie analitycznym zbieranie danych to pierwszy  etap EDA.</a:t>
          </a:r>
        </a:p>
        <a:p>
          <a:pPr eaLnBrk="1" fontAlgn="auto" latinLnBrk="0" hangingPunct="1"/>
          <a:r>
            <a:rPr lang="pl-PL" sz="1100">
              <a:effectLst/>
            </a:rPr>
            <a:t>W tym mini-projekcie otrzymujesz już zebrane dane,</a:t>
          </a:r>
        </a:p>
        <a:p>
          <a:pPr eaLnBrk="1" fontAlgn="auto" latinLnBrk="0" hangingPunct="1"/>
          <a:r>
            <a:rPr lang="pl-PL" sz="1100">
              <a:effectLst/>
            </a:rPr>
            <a:t>ale</a:t>
          </a:r>
          <a:r>
            <a:rPr lang="pl-PL" sz="1100" baseline="0">
              <a:effectLst/>
            </a:rPr>
            <a:t> </a:t>
          </a:r>
          <a:r>
            <a:rPr lang="pl-PL" sz="1100">
              <a:effectLst/>
            </a:rPr>
            <a:t>warto wiedzieć, jakie są możliwe źródła danych o rynku wynagrodzeń IT: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r>
            <a:rPr lang="pl-PL" sz="1100" u="sng">
              <a:effectLst/>
            </a:rPr>
            <a:t>Publiczne bazy danych</a:t>
          </a:r>
        </a:p>
        <a:p>
          <a:pPr eaLnBrk="1" fontAlgn="auto" latinLnBrk="0" hangingPunct="1"/>
          <a:r>
            <a:rPr lang="pl-PL" sz="1100">
              <a:effectLst/>
            </a:rPr>
            <a:t>Raporty GUS o wynagrodzeniach w sektorze IT</a:t>
          </a:r>
        </a:p>
        <a:p>
          <a:pPr eaLnBrk="1" fontAlgn="auto" latinLnBrk="0" hangingPunct="1"/>
          <a:r>
            <a:rPr lang="pl-PL" sz="1100">
              <a:effectLst/>
            </a:rPr>
            <a:t>Badania samorządów branżowych (np. PARP)</a:t>
          </a:r>
        </a:p>
        <a:p>
          <a:pPr eaLnBrk="1" fontAlgn="auto" latinLnBrk="0" hangingPunct="1"/>
          <a:r>
            <a:rPr lang="pl-PL" sz="1100">
              <a:effectLst/>
            </a:rPr>
            <a:t>Raporty portali z ofertami pracy (Hays, No Fluff Jobs, Bulldogjob.pl)</a:t>
          </a:r>
        </a:p>
        <a:p>
          <a:pPr eaLnBrk="1" fontAlgn="auto" latinLnBrk="0" hangingPunct="1"/>
          <a:r>
            <a:rPr lang="pl-PL" sz="1100">
              <a:effectLst/>
            </a:rPr>
            <a:t>Badania benchmarkingowe HR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r>
            <a:rPr lang="pl-PL" sz="1100" u="sng">
              <a:effectLst/>
            </a:rPr>
            <a:t>Web scraping (zaawansowane)</a:t>
          </a:r>
        </a:p>
        <a:p>
          <a:pPr eaLnBrk="1" fontAlgn="auto" latinLnBrk="0" hangingPunct="1"/>
          <a:r>
            <a:rPr lang="pl-PL" sz="1100">
              <a:effectLst/>
            </a:rPr>
            <a:t>Dane z ogłoszeń o pracę (widełki płacowe)</a:t>
          </a:r>
        </a:p>
        <a:p>
          <a:pPr eaLnBrk="1" fontAlgn="auto" latinLnBrk="0" hangingPunct="1"/>
          <a:r>
            <a:rPr lang="pl-PL" sz="1100">
              <a:effectLst/>
            </a:rPr>
            <a:t>Informacje z profili LinkedIn</a:t>
          </a:r>
        </a:p>
        <a:p>
          <a:pPr eaLnBrk="1" fontAlgn="auto" latinLnBrk="0" hangingPunct="1"/>
          <a:r>
            <a:rPr lang="pl-PL" sz="1100">
              <a:effectLst/>
            </a:rPr>
            <a:t>Statystyki ze stron firm IT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endParaRPr lang="pl-PL" sz="1100"/>
        </a:p>
        <a:p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313364</xdr:colOff>
      <xdr:row>0</xdr:row>
      <xdr:rowOff>102994</xdr:rowOff>
    </xdr:from>
    <xdr:to>
      <xdr:col>20</xdr:col>
      <xdr:colOff>85183</xdr:colOff>
      <xdr:row>14</xdr:row>
      <xdr:rowOff>39635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558806C-64D1-4878-88A9-0D67D9628C14}"/>
            </a:ext>
          </a:extLst>
        </xdr:cNvPr>
        <xdr:cNvSpPr txBox="1"/>
      </xdr:nvSpPr>
      <xdr:spPr>
        <a:xfrm>
          <a:off x="10349462" y="102994"/>
          <a:ext cx="7182733" cy="27631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Czyszczenie danych: 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Obsługa brakujących wartości, usuwanie duplikatów i poprawianie błędów.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>
              <a:effectLst/>
            </a:rPr>
            <a:t>Dane mogą zawierać drobne błędy lub nieścisłości,</a:t>
          </a:r>
          <a:r>
            <a:rPr lang="pl-PL" baseline="0">
              <a:effectLst/>
            </a:rPr>
            <a:t> a </a:t>
          </a:r>
          <a:r>
            <a:rPr lang="pl-PL">
              <a:effectLst/>
            </a:rPr>
            <a:t>Twoim zadaniem jest</a:t>
          </a:r>
          <a:r>
            <a:rPr lang="pl-PL" baseline="0">
              <a:effectLst/>
            </a:rPr>
            <a:t> </a:t>
          </a:r>
          <a:r>
            <a:rPr lang="pl-PL">
              <a:effectLst/>
            </a:rPr>
            <a:t>wykryć je w fazie czyszczenia.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solidFill>
                <a:srgbClr val="C00000"/>
              </a:solidFill>
              <a:effectLst/>
            </a:rPr>
            <a:t>Skopiuj</a:t>
          </a:r>
          <a:r>
            <a:rPr lang="pl-PL" baseline="0">
              <a:solidFill>
                <a:srgbClr val="C00000"/>
              </a:solidFill>
              <a:effectLst/>
            </a:rPr>
            <a:t> oryginalne </a:t>
          </a:r>
          <a:r>
            <a:rPr lang="pl-PL">
              <a:solidFill>
                <a:srgbClr val="C00000"/>
              </a:solidFill>
              <a:effectLst/>
            </a:rPr>
            <a:t>dane do tego arkusza i sprawdź, czy w danych występują:</a:t>
          </a: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brakujące wartości</a:t>
          </a: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duplikaty obserwacji ID</a:t>
          </a: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niespójne formaty danych (np. liczby zapisane jako tekst)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endParaRPr lang="pl-PL" sz="1100"/>
        </a:p>
      </xdr:txBody>
    </xdr:sp>
    <xdr:clientData/>
  </xdr:twoCellAnchor>
  <xdr:twoCellAnchor>
    <xdr:from>
      <xdr:col>16373</xdr:col>
      <xdr:colOff>588536</xdr:colOff>
      <xdr:row>1048526</xdr:row>
      <xdr:rowOff>139389</xdr:rowOff>
    </xdr:from>
    <xdr:to>
      <xdr:col>16382</xdr:col>
      <xdr:colOff>185854</xdr:colOff>
      <xdr:row>1048575</xdr:row>
      <xdr:rowOff>30975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D21FB927-C94F-58FD-7AEC-57249ABC5F07}"/>
            </a:ext>
          </a:extLst>
        </xdr:cNvPr>
        <xdr:cNvSpPr txBox="1"/>
      </xdr:nvSpPr>
      <xdr:spPr>
        <a:xfrm>
          <a:off x="10908649512" y="178633166462"/>
          <a:ext cx="5591098" cy="8239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>
              <a:effectLst/>
            </a:rPr>
            <a:t>Etap czyszczenia danych polega na automatycznej kontroli jakości danych.</a:t>
          </a:r>
          <a:br>
            <a:rPr lang="pl-PL">
              <a:effectLst/>
            </a:rPr>
          </a:br>
          <a:r>
            <a:rPr lang="pl-PL">
              <a:effectLst/>
            </a:rPr>
            <a:t>Mogą służyć do tego funkcje logiczne w kolumnach kontrolnych</a:t>
          </a:r>
          <a:r>
            <a:rPr lang="pl-PL" baseline="0">
              <a:effectLst/>
            </a:rPr>
            <a:t> i/lub</a:t>
          </a:r>
          <a:r>
            <a:rPr lang="pl-PL">
              <a:effectLst/>
            </a:rPr>
            <a:t> formatowanie warunkowe.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Krok 1. Ogólna kontrola jakości danych</a:t>
          </a:r>
        </a:p>
        <a:p>
          <a:pPr eaLnBrk="1" fontAlgn="auto" latinLnBrk="0" hangingPunct="1"/>
          <a:r>
            <a:rPr lang="pl-PL">
              <a:effectLst/>
            </a:rPr>
            <a:t>Funkcja logiczna w kolumnie H znalazła błędy w danych</a:t>
          </a:r>
          <a:r>
            <a:rPr lang="pl-PL" baseline="0">
              <a:effectLst/>
            </a:rPr>
            <a:t> obejmujące:</a:t>
          </a:r>
          <a:endParaRPr lang="pl-PL">
            <a:effectLst/>
          </a:endParaRP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brakujące wartości</a:t>
          </a:r>
        </a:p>
        <a:p>
          <a:pPr marL="171450" indent="-171450" eaLnBrk="1" fontAlgn="auto" latinLnBrk="0" hangingPunct="1">
            <a:buFont typeface="Arial" panose="020B0604020202020204" pitchFamily="34" charset="0"/>
            <a:buChar char="•"/>
          </a:pPr>
          <a:r>
            <a:rPr lang="pl-PL">
              <a:effectLst/>
            </a:rPr>
            <a:t>niespójne formaty danych (liczby zapisane jako tekst)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Krok 2. Duplikaty danych</a:t>
          </a:r>
        </a:p>
        <a:p>
          <a:pPr eaLnBrk="1" fontAlgn="auto" latinLnBrk="0" hangingPunct="1"/>
          <a:r>
            <a:rPr lang="pl-PL">
              <a:effectLst/>
            </a:rPr>
            <a:t>Funkcja logiczna w kolumnie I znalazła</a:t>
          </a:r>
          <a:r>
            <a:rPr lang="pl-PL" baseline="0">
              <a:effectLst/>
            </a:rPr>
            <a:t>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duplikaty obserwacji ID</a:t>
          </a:r>
          <a:endParaRPr lang="pl-PL" sz="1100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Krok 3. Załóż filtr</a:t>
          </a:r>
          <a:r>
            <a:rPr lang="pl-PL" baseline="0">
              <a:effectLst/>
            </a:rPr>
            <a:t> na wszystkich danych (Dane -&gt; Filtruj)</a:t>
          </a:r>
        </a:p>
        <a:p>
          <a:pPr eaLnBrk="1" fontAlgn="auto" latinLnBrk="0" hangingPunct="1"/>
          <a:r>
            <a:rPr lang="pl-PL">
              <a:effectLst/>
            </a:rPr>
            <a:t>- jest</a:t>
          </a:r>
          <a:r>
            <a:rPr lang="pl-PL" baseline="0">
              <a:effectLst/>
            </a:rPr>
            <a:t> 5 duplikatów </a:t>
          </a:r>
          <a:r>
            <a:rPr lang="pl-PL">
              <a:effectLst/>
            </a:rPr>
            <a:t>obserwacji ID (w tym w jednym b.d., w dwóch wartość 0.5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zapisana z kropką</a:t>
          </a:r>
          <a:r>
            <a:rPr lang="pl-PL">
              <a:effectLst/>
            </a:rPr>
            <a:t>)</a:t>
          </a:r>
        </a:p>
        <a:p>
          <a:pPr eaLnBrk="1" fontAlgn="auto" latinLnBrk="0" hangingPunct="1"/>
          <a:r>
            <a:rPr lang="pl-PL">
              <a:effectLst/>
            </a:rPr>
            <a:t>-</a:t>
          </a:r>
          <a:r>
            <a:rPr lang="pl-PL" baseline="0">
              <a:effectLst/>
            </a:rPr>
            <a:t> jest 9</a:t>
          </a:r>
          <a:r>
            <a:rPr lang="pl-PL">
              <a:effectLst/>
            </a:rPr>
            <a:t> błędów w danych (wartość pusta lub "b.d.", wartość 0.5 zapisana z kropką)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 b="1">
              <a:effectLst/>
            </a:rPr>
            <a:t>Decyzje</a:t>
          </a:r>
          <a:r>
            <a:rPr lang="pl-PL" b="1" baseline="0">
              <a:effectLst/>
            </a:rPr>
            <a:t> analityczne:</a:t>
          </a:r>
          <a:endParaRPr lang="pl-PL" b="1">
            <a:effectLst/>
          </a:endParaRPr>
        </a:p>
        <a:p>
          <a:pPr eaLnBrk="1" fontAlgn="auto" latinLnBrk="0" hangingPunct="1"/>
          <a:r>
            <a:rPr lang="pl-PL">
              <a:solidFill>
                <a:srgbClr val="C00000"/>
              </a:solidFill>
              <a:effectLst/>
            </a:rPr>
            <a:t>- duplikaty ID: pozostaw jedno wystąpienie, usuń rekordy nadmiarowe</a:t>
          </a:r>
        </a:p>
        <a:p>
          <a:pPr eaLnBrk="1" fontAlgn="auto" latinLnBrk="0" hangingPunct="1"/>
          <a:r>
            <a:rPr lang="pl-PL">
              <a:solidFill>
                <a:srgbClr val="C00000"/>
              </a:solidFill>
              <a:effectLst/>
            </a:rPr>
            <a:t>- błędy formatu 0.5: popraw </a:t>
          </a:r>
          <a:r>
            <a:rPr lang="pl-PL" baseline="0">
              <a:solidFill>
                <a:srgbClr val="C00000"/>
              </a:solidFill>
              <a:effectLst/>
            </a:rPr>
            <a:t>na 0,5 zapisane z przecinkiem</a:t>
          </a:r>
          <a:endParaRPr lang="pl-PL">
            <a:solidFill>
              <a:srgbClr val="C00000"/>
            </a:solidFill>
            <a:effectLst/>
          </a:endParaRPr>
        </a:p>
        <a:p>
          <a:pPr eaLnBrk="1" fontAlgn="auto" latinLnBrk="0" hangingPunct="1"/>
          <a:r>
            <a:rPr lang="pl-PL">
              <a:solidFill>
                <a:srgbClr val="C00000"/>
              </a:solidFill>
              <a:effectLst/>
            </a:rPr>
            <a:t>- brakujące wartości: </a:t>
          </a:r>
          <a:r>
            <a:rPr lang="pl-PL" baseline="0">
              <a:solidFill>
                <a:srgbClr val="C00000"/>
              </a:solidFill>
              <a:effectLst/>
            </a:rPr>
            <a:t>jest ich zbyt dużo w 3 obserwacjach (zwł. brak danych o wynagrodzeniu) - usuń te wiersze</a:t>
          </a:r>
        </a:p>
        <a:p>
          <a:pPr eaLnBrk="1" fontAlgn="auto" latinLnBrk="0" hangingPunct="1"/>
          <a:endParaRPr lang="pl-PL" baseline="0">
            <a:solidFill>
              <a:srgbClr val="C00000"/>
            </a:solidFill>
            <a:effectLst/>
          </a:endParaRPr>
        </a:p>
        <a:p>
          <a:pPr eaLnBrk="1" fontAlgn="auto" latinLnBrk="0" hangingPunct="1"/>
          <a:r>
            <a:rPr lang="pl-PL" b="1" baseline="0">
              <a:solidFill>
                <a:sysClr val="windowText" lastClr="000000"/>
              </a:solidFill>
              <a:effectLst/>
            </a:rPr>
            <a:t>Działania do wykonania przed kolejnym etapem EDA: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usuń rekordy nadmiarowe: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31 (ten z brakiem danych)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35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43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64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90</a:t>
          </a:r>
        </a:p>
        <a:p>
          <a:pPr eaLnBrk="1" fontAlgn="auto" latinLnBrk="0" hangingPunct="1"/>
          <a:endParaRPr lang="pl-PL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następnie zamień 0.5 =&gt; 0,5 w obserwacjach: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20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43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74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89</a:t>
          </a:r>
        </a:p>
        <a:p>
          <a:pPr eaLnBrk="1" fontAlgn="auto" latinLnBrk="0" hangingPunct="1"/>
          <a:endParaRPr lang="pl-PL">
            <a:solidFill>
              <a:sysClr val="windowText" lastClr="000000"/>
            </a:solidFill>
            <a:effectLst/>
          </a:endParaRP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następnie usuń wiersze z obserwacjami: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101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102</a:t>
          </a:r>
        </a:p>
        <a:p>
          <a:pPr eaLnBrk="1" fontAlgn="auto" latinLnBrk="0" hangingPunct="1"/>
          <a:r>
            <a:rPr lang="pl-PL">
              <a:solidFill>
                <a:sysClr val="windowText" lastClr="000000"/>
              </a:solidFill>
              <a:effectLst/>
            </a:rPr>
            <a:t>ID 103</a:t>
          </a:r>
        </a:p>
        <a:p>
          <a:endParaRPr lang="pl-PL" sz="1100"/>
        </a:p>
        <a:p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354329</xdr:colOff>
      <xdr:row>37</xdr:row>
      <xdr:rowOff>161925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50DCB1ED-DA54-4F38-9B4A-BDEEAAD3E62E}"/>
            </a:ext>
          </a:extLst>
        </xdr:cNvPr>
        <xdr:cNvSpPr txBox="1"/>
      </xdr:nvSpPr>
      <xdr:spPr>
        <a:xfrm>
          <a:off x="0" y="0"/>
          <a:ext cx="7669529" cy="6505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kumimoji="0" lang="pl-PL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Transformacja danych: 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Normalizacja lub standaryzacja danych w razie potrzeby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>
              <a:effectLst/>
            </a:rPr>
            <a:t>Po oczyszczeniu danych przygotowujesz je do dalszej analizy poprzez przekształcenie zmiennych, np.:</a:t>
          </a:r>
        </a:p>
        <a:p>
          <a:pPr eaLnBrk="1" fontAlgn="auto" latinLnBrk="0" hangingPunct="1"/>
          <a:r>
            <a:rPr lang="pl-PL">
              <a:effectLst/>
            </a:rPr>
            <a:t>- utworzenie nowych zmiennych pochodnych</a:t>
          </a:r>
        </a:p>
        <a:p>
          <a:pPr eaLnBrk="1" fontAlgn="auto" latinLnBrk="0" hangingPunct="1"/>
          <a:r>
            <a:rPr lang="pl-PL">
              <a:effectLst/>
            </a:rPr>
            <a:t>- grupowanie/kategoryzowanie danych</a:t>
          </a:r>
        </a:p>
        <a:p>
          <a:pPr eaLnBrk="1" fontAlgn="auto" latinLnBrk="0" hangingPunct="1"/>
          <a:r>
            <a:rPr lang="pl-PL">
              <a:effectLst/>
            </a:rPr>
            <a:t>- normalizację</a:t>
          </a:r>
          <a:r>
            <a:rPr lang="pl-PL" baseline="0">
              <a:effectLst/>
            </a:rPr>
            <a:t> lub standaryzację z</a:t>
          </a:r>
          <a:r>
            <a:rPr lang="pl-PL">
              <a:effectLst/>
            </a:rPr>
            <a:t>miennych</a:t>
          </a:r>
          <a:r>
            <a:rPr lang="pl-PL" baseline="0">
              <a:effectLst/>
            </a:rPr>
            <a:t> liczbowych, </a:t>
          </a:r>
          <a:r>
            <a:rPr lang="pl-PL">
              <a:effectLst/>
            </a:rPr>
            <a:t>jeśli będzie to potrzebne do porównań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Skopiuj</a:t>
          </a:r>
          <a:r>
            <a:rPr lang="pl-PL" sz="110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oczyszczone </a:t>
          </a:r>
          <a:r>
            <a:rPr lang="pl-PL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dane </a:t>
          </a:r>
          <a:r>
            <a:rPr lang="pl-PL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do tego arkusza i następnie: </a:t>
          </a:r>
          <a:endParaRPr lang="pl-PL">
            <a:solidFill>
              <a:srgbClr val="C00000"/>
            </a:solidFill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a)</a:t>
          </a:r>
          <a:r>
            <a:rPr lang="pl-PL" baseline="0">
              <a:effectLst/>
            </a:rPr>
            <a:t> </a:t>
          </a:r>
          <a:r>
            <a:rPr lang="pl-PL">
              <a:effectLst/>
            </a:rPr>
            <a:t>Utwórz zmienną "Wynagrodzenie_netto"</a:t>
          </a:r>
          <a:r>
            <a:rPr lang="pl-PL" baseline="0">
              <a:effectLst/>
            </a:rPr>
            <a:t> przy uproszczonym założeniu</a:t>
          </a:r>
          <a:r>
            <a:rPr lang="pl-PL">
              <a:effectLst/>
            </a:rPr>
            <a:t>: netto ≈ 71% brutto.</a:t>
          </a:r>
        </a:p>
        <a:p>
          <a:pPr eaLnBrk="1" fontAlgn="auto" latinLnBrk="0" hangingPunct="1"/>
          <a:endParaRPr lang="pl-PL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>
              <a:effectLst/>
            </a:rPr>
            <a:t>b)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celu id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entyfikacji wartości odstających oraz późniejszej analizy zależności pomiędzy zmiennymi liczbowymi o różnych skalach:</a:t>
          </a:r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utwórz zmienną "</a:t>
          </a:r>
          <a:r>
            <a:rPr lang="pl-PL" baseline="0">
              <a:effectLst/>
            </a:rPr>
            <a:t>Wynagr_standaryzowane", dokonując standaryzacji z-score</a:t>
          </a:r>
        </a:p>
        <a:p>
          <a:pPr eaLnBrk="1" fontAlgn="auto" latinLnBrk="0" hangingPunct="1"/>
          <a:r>
            <a:rPr lang="pl-PL" b="1">
              <a:effectLst/>
            </a:rPr>
            <a:t>Wynagr_standaryzowane = (Wynagrodzenie_netto - ŚREDNIA) / ODCH.STANDARDOWE</a:t>
          </a:r>
        </a:p>
        <a:p>
          <a:pPr eaLnBrk="1" fontAlgn="auto" latinLnBrk="0" hangingPunct="1"/>
          <a:endParaRPr lang="pl-PL">
            <a:effectLst/>
          </a:endParaRPr>
        </a:p>
        <a:p>
          <a:pPr>
            <a:buNone/>
          </a:pPr>
          <a:r>
            <a:rPr lang="pl-PL" b="1"/>
            <a:t>Interpretacja:</a:t>
          </a:r>
          <a:endParaRPr lang="pl-PL"/>
        </a:p>
        <a:p>
          <a:pPr>
            <a:buFont typeface="Arial" panose="020B0604020202020204" pitchFamily="34" charset="0"/>
            <a:buChar char="•"/>
          </a:pPr>
          <a:r>
            <a:rPr lang="pl-PL"/>
            <a:t>Wartość </a:t>
          </a:r>
          <a:r>
            <a:rPr lang="pl-PL" b="1"/>
            <a:t>0</a:t>
          </a:r>
          <a:r>
            <a:rPr lang="pl-PL"/>
            <a:t> = wynagrodzenie dokładnie na średniej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Wartość </a:t>
          </a:r>
          <a:r>
            <a:rPr lang="pl-PL" b="1"/>
            <a:t>+2</a:t>
          </a:r>
          <a:r>
            <a:rPr lang="pl-PL"/>
            <a:t> = wynagrodzenie o 2 odchylenia standardowe powyżej średniej (outlier)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Wartość </a:t>
          </a:r>
          <a:r>
            <a:rPr lang="pl-PL" b="1"/>
            <a:t>-2</a:t>
          </a:r>
          <a:r>
            <a:rPr lang="pl-PL"/>
            <a:t> = wynagrodzenie o 2 odchylenia standardowe poniżej średniej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 eaLnBrk="1" fontAlgn="auto" latinLnBrk="0" hangingPunct="1"/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W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celu id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entyfikacji wartości odstających oraz późniejszej analizy zależności pomiędzy zmiennymi liczbowymi o różnych skalach:</a:t>
          </a:r>
          <a:endParaRPr lang="pl-PL">
            <a:effectLst/>
          </a:endParaRPr>
        </a:p>
        <a:p>
          <a:pPr eaLnBrk="1" fontAlgn="auto" latinLnBrk="0" hangingPunct="1"/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utwórz zmienną "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Dosw_standaryzowane", dokonując standaryzacji z-score</a:t>
          </a:r>
          <a:endParaRPr lang="pl-PL">
            <a:effectLst/>
          </a:endParaRPr>
        </a:p>
        <a:p>
          <a:pPr eaLnBrk="1" fontAlgn="auto" latinLnBrk="0" hangingPunct="1"/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Dosw_standaryzowane = (Doswiadczenie_lata - ŚREDNIA) / ODCH.STANDARDOWE</a:t>
          </a:r>
        </a:p>
        <a:p>
          <a:pPr eaLnBrk="1" fontAlgn="auto" latinLnBrk="0" hangingPunct="1"/>
          <a:endParaRPr lang="pl-PL">
            <a:effectLst/>
          </a:endParaRPr>
        </a:p>
        <a:p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Interpretacja: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Wartość 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doświadczenie dokładnie na średniej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Wartość 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+2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doświadczenie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2 odchylenia standardowe powyżej średniej (outlier)</a:t>
          </a:r>
          <a:endParaRPr lang="pl-PL">
            <a:effectLst/>
          </a:endParaRPr>
        </a:p>
        <a:p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Wartość 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doświadczenie o 2 odchylenia standardowe poniżej średniej</a:t>
          </a:r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>
              <a:effectLst/>
            </a:rPr>
            <a:t>d)</a:t>
          </a:r>
          <a:r>
            <a:rPr lang="pl-PL" baseline="0">
              <a:effectLst/>
            </a:rPr>
            <a:t> </a:t>
          </a:r>
          <a:r>
            <a:rPr lang="pl-PL">
              <a:effectLst/>
            </a:rPr>
            <a:t>Utwórz zmienną "Poziom_stanowiska" z kategoriami:</a:t>
          </a:r>
        </a:p>
        <a:p>
          <a:pPr eaLnBrk="1" fontAlgn="auto" latinLnBrk="0" hangingPunct="1"/>
          <a:r>
            <a:rPr lang="pl-PL">
              <a:effectLst/>
            </a:rPr>
            <a:t>Junior Data Scientist → Junior</a:t>
          </a:r>
        </a:p>
        <a:p>
          <a:pPr eaLnBrk="1" fontAlgn="auto" latinLnBrk="0" hangingPunct="1"/>
          <a:r>
            <a:rPr lang="pl-PL">
              <a:effectLst/>
            </a:rPr>
            <a:t>Developer → Mid</a:t>
          </a:r>
        </a:p>
        <a:p>
          <a:pPr eaLnBrk="1" fontAlgn="auto" latinLnBrk="0" hangingPunct="1"/>
          <a:r>
            <a:rPr lang="pl-PL">
              <a:effectLst/>
            </a:rPr>
            <a:t>Senior Dev / Architect → Senior</a:t>
          </a: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85725</xdr:colOff>
      <xdr:row>52</xdr:row>
      <xdr:rowOff>0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35FF2F53-7DBF-49FA-BFC9-0EC816B59D1A}"/>
            </a:ext>
          </a:extLst>
        </xdr:cNvPr>
        <xdr:cNvSpPr txBox="1"/>
      </xdr:nvSpPr>
      <xdr:spPr>
        <a:xfrm>
          <a:off x="0" y="0"/>
          <a:ext cx="6791325" cy="891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kumimoji="0" lang="pl-PL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Wizualizacja danych: 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Tworzenie wykresów (histogramy, wykresy rozrzutu, wykresy pudełkowe)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buNone/>
          </a:pPr>
          <a:r>
            <a:rPr lang="pl-PL">
              <a:effectLst/>
            </a:rPr>
            <a:t>Po transformacji danych </a:t>
          </a:r>
          <a:r>
            <a:rPr lang="pl-PL"/>
            <a:t>przechodzisz do </a:t>
          </a:r>
          <a:r>
            <a:rPr lang="pl-PL" b="1"/>
            <a:t>wizualizacji</a:t>
          </a:r>
          <a:r>
            <a:rPr lang="pl-PL"/>
            <a:t>, której celem jest:</a:t>
          </a:r>
        </a:p>
        <a:p>
          <a:pPr>
            <a:buFontTx/>
            <a:buNone/>
          </a:pPr>
          <a:r>
            <a:rPr lang="pl-PL"/>
            <a:t>- identyfikacja wzorców</a:t>
          </a:r>
        </a:p>
        <a:p>
          <a:pPr>
            <a:buFontTx/>
            <a:buNone/>
          </a:pPr>
          <a:r>
            <a:rPr lang="pl-PL"/>
            <a:t>- wykrycie wartości odstających</a:t>
          </a:r>
        </a:p>
        <a:p>
          <a:pPr>
            <a:buFontTx/>
            <a:buNone/>
          </a:pPr>
          <a:r>
            <a:rPr lang="pl-PL"/>
            <a:t>- wstępna ocena zależności pomiędzy zmiennymi</a:t>
          </a:r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r>
            <a:rPr lang="pl-PL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Skopiuj</a:t>
          </a:r>
          <a:r>
            <a:rPr lang="pl-PL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dane</a:t>
          </a:r>
          <a:r>
            <a:rPr lang="pl-PL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po transformacji</a:t>
          </a:r>
          <a:r>
            <a:rPr lang="pl-PL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do tego arkusza i następnie: </a:t>
          </a:r>
          <a:endParaRPr lang="pl-PL">
            <a:solidFill>
              <a:srgbClr val="C00000"/>
            </a:solidFill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>
            <a:buNone/>
          </a:pPr>
          <a:r>
            <a:rPr lang="pl-PL" b="1">
              <a:effectLst/>
            </a:rPr>
            <a:t>a)</a:t>
          </a:r>
          <a:r>
            <a:rPr lang="pl-PL" b="1" baseline="0">
              <a:effectLst/>
            </a:rPr>
            <a:t> </a:t>
          </a:r>
          <a:r>
            <a:rPr lang="pl-PL" b="1"/>
            <a:t>Histogram - rozkład wynagrodzeń</a:t>
          </a:r>
        </a:p>
        <a:p>
          <a:pPr>
            <a:buNone/>
          </a:pPr>
          <a:endParaRPr lang="pl-PL"/>
        </a:p>
        <a:p>
          <a:pPr>
            <a:buFontTx/>
            <a:buNone/>
          </a:pPr>
          <a:r>
            <a:rPr lang="pl-PL"/>
            <a:t>Utwórz histogram dla zmiennej </a:t>
          </a:r>
          <a:r>
            <a:rPr lang="pl-PL" b="1"/>
            <a:t>Wynagrodzenie_netto</a:t>
          </a:r>
          <a:r>
            <a:rPr lang="pl-PL"/>
            <a:t>.</a:t>
          </a:r>
        </a:p>
        <a:p>
          <a:pPr>
            <a:buFontTx/>
            <a:buNone/>
          </a:pPr>
          <a:r>
            <a:rPr lang="pl-PL"/>
            <a:t>Następnie utwórz drugi histogram dla </a:t>
          </a:r>
          <a:r>
            <a:rPr lang="pl-PL" b="1"/>
            <a:t>Wynagr_standaryzowane</a:t>
          </a:r>
          <a:r>
            <a:rPr lang="pl-PL"/>
            <a:t>.</a:t>
          </a:r>
        </a:p>
        <a:p>
          <a:pPr>
            <a:buNone/>
          </a:pPr>
          <a:r>
            <a:rPr lang="pl-PL" b="1"/>
            <a:t>Zwróć uwagę:</a:t>
          </a:r>
          <a:endParaRPr lang="pl-PL"/>
        </a:p>
        <a:p>
          <a:pPr>
            <a:buFont typeface="Arial" panose="020B0604020202020204" pitchFamily="34" charset="0"/>
            <a:buChar char="•"/>
          </a:pPr>
          <a:r>
            <a:rPr lang="pl-PL"/>
            <a:t>czy rozkład jest symetryczny czy skośny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gdzie znajduje się większość obserwacji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None/>
          </a:pPr>
          <a:r>
            <a:rPr lang="pl-PL" b="1"/>
            <a:t>b) Wykres pudełkowy - porównanie grup</a:t>
          </a:r>
        </a:p>
        <a:p>
          <a:pPr>
            <a:buNone/>
          </a:pPr>
          <a:endParaRPr lang="pl-PL"/>
        </a:p>
        <a:p>
          <a:pPr>
            <a:buFontTx/>
            <a:buNone/>
          </a:pPr>
          <a:r>
            <a:rPr lang="pl-PL"/>
            <a:t>Utwórz wykres pudełkowy: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pl-PL" b="1"/>
            <a:t>Wynagrodzenie_netto</a:t>
          </a:r>
          <a:r>
            <a:rPr lang="pl-PL"/>
            <a:t> w podziale na </a:t>
          </a:r>
          <a:r>
            <a:rPr lang="pl-PL" b="1"/>
            <a:t>Poziom_stanowiska</a:t>
          </a:r>
          <a:r>
            <a:rPr lang="pl-PL"/>
            <a:t> (Junior / Mid / Senior)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pl-PL" b="1"/>
            <a:t>Wynagrodzenie_netto</a:t>
          </a:r>
          <a:r>
            <a:rPr lang="pl-PL"/>
            <a:t> w podziale na </a:t>
          </a:r>
          <a:r>
            <a:rPr lang="pl-PL" b="1"/>
            <a:t>Technologię</a:t>
          </a:r>
          <a:endParaRPr lang="pl-PL"/>
        </a:p>
        <a:p>
          <a:pPr>
            <a:buNone/>
          </a:pPr>
          <a:r>
            <a:rPr lang="pl-PL" b="1"/>
            <a:t>Zwróć uwagę na:</a:t>
          </a:r>
          <a:endParaRPr lang="pl-PL"/>
        </a:p>
        <a:p>
          <a:pPr>
            <a:buFont typeface="Arial" panose="020B0604020202020204" pitchFamily="34" charset="0"/>
            <a:buChar char="•"/>
          </a:pPr>
          <a:r>
            <a:rPr lang="pl-PL"/>
            <a:t>różnice median pomiędzy grupami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rozpiętość wynagrodzeń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obecność wartości odstających w poszczególnych grupach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 eaLnBrk="1" fontAlgn="auto" latinLnBrk="0" hangingPunct="1"/>
          <a:endParaRPr lang="pl-PL">
            <a:effectLst/>
          </a:endParaRPr>
        </a:p>
        <a:p>
          <a:pPr>
            <a:buNone/>
          </a:pPr>
          <a:r>
            <a:rPr lang="pl-PL" b="1"/>
            <a:t>c) Wykres rozrzutu - zależności między zmiennymi</a:t>
          </a:r>
        </a:p>
        <a:p>
          <a:pPr>
            <a:buNone/>
          </a:pPr>
          <a:endParaRPr lang="pl-PL"/>
        </a:p>
        <a:p>
          <a:pPr>
            <a:buFontTx/>
            <a:buNone/>
          </a:pPr>
          <a:r>
            <a:rPr lang="pl-PL"/>
            <a:t>Utwórz wykres rozrzutu: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pl-PL" b="1"/>
            <a:t>Dosw_standaryzowane</a:t>
          </a:r>
          <a:r>
            <a:rPr lang="pl-PL"/>
            <a:t> (oś X),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pl-PL" b="1"/>
            <a:t>Wynagr_standaryzowane</a:t>
          </a:r>
          <a:r>
            <a:rPr lang="pl-PL"/>
            <a:t> (oś Y).</a:t>
          </a:r>
        </a:p>
        <a:p>
          <a:pPr>
            <a:buNone/>
          </a:pPr>
          <a:r>
            <a:rPr lang="pl-PL" b="1"/>
            <a:t>Zwróć uwagę:</a:t>
          </a:r>
          <a:endParaRPr lang="pl-PL"/>
        </a:p>
        <a:p>
          <a:pPr>
            <a:buFont typeface="Arial" panose="020B0604020202020204" pitchFamily="34" charset="0"/>
            <a:buChar char="•"/>
          </a:pPr>
          <a:r>
            <a:rPr lang="pl-PL"/>
            <a:t>czy punkty układają się w trend rosnący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czy zależność jest liniowa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czy istnieją obserwacje wyraźnie odstające od reszty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>
            <a:buNone/>
          </a:pPr>
          <a:r>
            <a:rPr lang="pl-PL" b="1"/>
            <a:t>d)</a:t>
          </a:r>
          <a:r>
            <a:rPr lang="pl-PL" b="1" baseline="0"/>
            <a:t> Na końcu z</a:t>
          </a:r>
          <a:r>
            <a:rPr lang="pl-PL" b="1"/>
            <a:t>astanów się: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czy wyniki potwierdzają intuicję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czy pojawiają się obserwacje nietypowe</a:t>
          </a:r>
        </a:p>
        <a:p>
          <a:pPr>
            <a:buFont typeface="Arial" panose="020B0604020202020204" pitchFamily="34" charset="0"/>
            <a:buChar char="•"/>
          </a:pPr>
          <a:r>
            <a:rPr lang="pl-PL"/>
            <a:t>jakie pytania analityczne rodzą się na tym etapie</a:t>
          </a:r>
        </a:p>
        <a:p>
          <a:pPr>
            <a:buFont typeface="Arial" panose="020B0604020202020204" pitchFamily="34" charset="0"/>
            <a:buChar char="•"/>
          </a:pPr>
          <a:endParaRPr lang="pl-PL"/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pPr eaLnBrk="1" fontAlgn="auto" latinLnBrk="0" hangingPunct="1"/>
          <a:endParaRPr lang="pl-PL">
            <a:effectLst/>
          </a:endParaRPr>
        </a:p>
        <a:p>
          <a:endParaRPr lang="pl-PL" sz="1100"/>
        </a:p>
      </xdr:txBody>
    </xdr:sp>
    <xdr:clientData/>
  </xdr:twoCellAnchor>
  <xdr:twoCellAnchor>
    <xdr:from>
      <xdr:col>0</xdr:col>
      <xdr:colOff>39220</xdr:colOff>
      <xdr:row>52</xdr:row>
      <xdr:rowOff>17929</xdr:rowOff>
    </xdr:from>
    <xdr:to>
      <xdr:col>7</xdr:col>
      <xdr:colOff>453838</xdr:colOff>
      <xdr:row>69</xdr:row>
      <xdr:rowOff>94129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2">
              <a:extLst>
                <a:ext uri="{FF2B5EF4-FFF2-40B4-BE49-F238E27FC236}">
                  <a16:creationId xmlns:a16="http://schemas.microsoft.com/office/drawing/2014/main" id="{9E4B1190-FCAB-4397-A8B8-C2BB2FB66C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20" y="8438029"/>
              <a:ext cx="4548468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0</xdr:col>
      <xdr:colOff>28015</xdr:colOff>
      <xdr:row>69</xdr:row>
      <xdr:rowOff>40341</xdr:rowOff>
    </xdr:from>
    <xdr:to>
      <xdr:col>7</xdr:col>
      <xdr:colOff>442633</xdr:colOff>
      <xdr:row>86</xdr:row>
      <xdr:rowOff>116541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Wykres 3">
              <a:extLst>
                <a:ext uri="{FF2B5EF4-FFF2-40B4-BE49-F238E27FC236}">
                  <a16:creationId xmlns:a16="http://schemas.microsoft.com/office/drawing/2014/main" id="{11BC445D-61BC-4310-8658-0027E24CE4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15" y="11089341"/>
              <a:ext cx="4548468" cy="282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24</xdr:col>
      <xdr:colOff>25976</xdr:colOff>
      <xdr:row>3</xdr:row>
      <xdr:rowOff>48490</xdr:rowOff>
    </xdr:from>
    <xdr:to>
      <xdr:col>31</xdr:col>
      <xdr:colOff>476249</xdr:colOff>
      <xdr:row>20</xdr:row>
      <xdr:rowOff>142008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Wykres 4">
              <a:extLst>
                <a:ext uri="{FF2B5EF4-FFF2-40B4-BE49-F238E27FC236}">
                  <a16:creationId xmlns:a16="http://schemas.microsoft.com/office/drawing/2014/main" id="{15C2BBA8-AB0A-4F6C-B1BA-F812DCCF50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42701" y="534265"/>
              <a:ext cx="4584123" cy="28462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24</xdr:col>
      <xdr:colOff>25976</xdr:colOff>
      <xdr:row>21</xdr:row>
      <xdr:rowOff>65809</xdr:rowOff>
    </xdr:from>
    <xdr:to>
      <xdr:col>31</xdr:col>
      <xdr:colOff>476249</xdr:colOff>
      <xdr:row>39</xdr:row>
      <xdr:rowOff>3463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Wykres 5">
              <a:extLst>
                <a:ext uri="{FF2B5EF4-FFF2-40B4-BE49-F238E27FC236}">
                  <a16:creationId xmlns:a16="http://schemas.microsoft.com/office/drawing/2014/main" id="{1AE2F885-7AFB-48D7-BCCC-5AE885CD88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42701" y="3466234"/>
              <a:ext cx="4584123" cy="28523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22</xdr:col>
      <xdr:colOff>1137396</xdr:colOff>
      <xdr:row>40</xdr:row>
      <xdr:rowOff>118782</xdr:rowOff>
    </xdr:from>
    <xdr:to>
      <xdr:col>30</xdr:col>
      <xdr:colOff>364190</xdr:colOff>
      <xdr:row>58</xdr:row>
      <xdr:rowOff>38100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A31F3B3A-34F9-5E65-0BED-F6BC626CA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15242</xdr:rowOff>
    </xdr:from>
    <xdr:to>
      <xdr:col>12</xdr:col>
      <xdr:colOff>171450</xdr:colOff>
      <xdr:row>5</xdr:row>
      <xdr:rowOff>9526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844DB728-0465-4F1F-A1FC-FAB01E8BE341}"/>
            </a:ext>
          </a:extLst>
        </xdr:cNvPr>
        <xdr:cNvSpPr txBox="1"/>
      </xdr:nvSpPr>
      <xdr:spPr>
        <a:xfrm>
          <a:off x="167640" y="186692"/>
          <a:ext cx="7319010" cy="680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Statystyki opisowe: 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Obliczanie średnich, median, dominant, odchyleń standardowych i innych miar statystycznych.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Użyj do tego poznanych funkcji lub tabeli przestawnej.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endParaRPr lang="pl-PL" sz="1100"/>
        </a:p>
        <a:p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</xdr:row>
      <xdr:rowOff>0</xdr:rowOff>
    </xdr:from>
    <xdr:to>
      <xdr:col>13</xdr:col>
      <xdr:colOff>276225</xdr:colOff>
      <xdr:row>10</xdr:row>
      <xdr:rowOff>99059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3A0B8F56-2920-4707-80C7-6874B22CDFA8}"/>
            </a:ext>
          </a:extLst>
        </xdr:cNvPr>
        <xdr:cNvSpPr txBox="1"/>
      </xdr:nvSpPr>
      <xdr:spPr>
        <a:xfrm>
          <a:off x="257175" y="171450"/>
          <a:ext cx="7943850" cy="16421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pl-PL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Analiza korelacji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Identyfikacja zależności pomiędzy zmiennymi.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Wykres rozrzutu pomiędzy standaryzowanym doświadczeniem a standaryzowanym wynagrodzeniem wskazał na silną dodatnią zależność liniową.</a:t>
          </a:r>
        </a:p>
        <a:p>
          <a:pPr eaLnBrk="1" fontAlgn="auto" latinLnBrk="0" hangingPunct="1"/>
          <a:endParaRPr lang="pl-PL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l-PL" sz="1100">
              <a:effectLst/>
            </a:rPr>
            <a:t>Oblicz współczynnik korelacji Pearsona między tymi zmiennymi.</a:t>
          </a:r>
        </a:p>
        <a:p>
          <a:pPr eaLnBrk="1" fontAlgn="auto" latinLnBrk="0" hangingPunct="1"/>
          <a:endParaRPr lang="pl-PL" sz="1100">
            <a:effectLst/>
          </a:endParaRPr>
        </a:p>
        <a:p>
          <a:pPr eaLnBrk="1" fontAlgn="auto" latinLnBrk="0" hangingPunct="1"/>
          <a:endParaRPr lang="pl-PL" sz="1100">
            <a:effectLst/>
          </a:endParaRPr>
        </a:p>
        <a:p>
          <a:endParaRPr lang="pl-PL" sz="1100"/>
        </a:p>
        <a:p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291465</xdr:colOff>
      <xdr:row>1</xdr:row>
      <xdr:rowOff>129540</xdr:rowOff>
    </xdr:from>
    <xdr:to>
      <xdr:col>17</xdr:col>
      <xdr:colOff>114300</xdr:colOff>
      <xdr:row>17</xdr:row>
      <xdr:rowOff>104775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B25F4ED4-4EC5-5A30-E5EA-73981B243ECA}"/>
            </a:ext>
          </a:extLst>
        </xdr:cNvPr>
        <xdr:cNvSpPr txBox="1"/>
      </xdr:nvSpPr>
      <xdr:spPr>
        <a:xfrm>
          <a:off x="901065" y="300990"/>
          <a:ext cx="9576435" cy="27184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=&gt; Twoim zadaniem jest przygotowanie raportu o rynku wynagrodzeń, który pomoże agencji w ustalaniu stawek oraz doradztwie dla kandydatów.</a:t>
          </a:r>
        </a:p>
        <a:p>
          <a:endParaRPr lang="pl-PL" sz="1100"/>
        </a:p>
        <a:p>
          <a:r>
            <a:rPr lang="pl-PL" sz="1100"/>
            <a:t>Po wykonaniu kolejnych etapów EDA i wizualizacji, które</a:t>
          </a:r>
          <a:r>
            <a:rPr lang="pl-PL" sz="1100" baseline="0"/>
            <a:t> potrzebujesz zawrzeć w raporcie,</a:t>
          </a:r>
          <a:endParaRPr lang="pl-PL" sz="1100"/>
        </a:p>
        <a:p>
          <a:r>
            <a:rPr lang="pl-PL" sz="1100"/>
            <a:t>znasz już odpowiedzi na poniższe pytania, dotyczące wynagrodzeń na rynku IT:</a:t>
          </a:r>
        </a:p>
        <a:p>
          <a:endParaRPr lang="pl-PL" sz="1100"/>
        </a:p>
        <a:p>
          <a:r>
            <a:rPr lang="pl-PL" sz="1100"/>
            <a:t>Jakie jest typowe wynagrodzenie developera w Warszawie? (mediana, nie średnia)</a:t>
          </a:r>
        </a:p>
        <a:p>
          <a:r>
            <a:rPr lang="pl-PL" sz="1100"/>
            <a:t>Która technologia oferuje najwyższe średnie zarobki?</a:t>
          </a:r>
        </a:p>
        <a:p>
          <a:r>
            <a:rPr lang="pl-PL" sz="1100"/>
            <a:t>Czy wielkość firmy ma znaczenie dla wynagrodzeń?</a:t>
          </a:r>
        </a:p>
        <a:p>
          <a:r>
            <a:rPr lang="pl-PL" sz="1100"/>
            <a:t>Czy doświadczenie jest ważnym czynnikiem? (r Pearsona)</a:t>
          </a:r>
        </a:p>
        <a:p>
          <a:r>
            <a:rPr lang="pl-PL" sz="1100"/>
            <a:t>Rekomendacje dla kandydatów: co robić, żeby zwiększyć swoje zarobki?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6107.74360347222" createdVersion="8" refreshedVersion="8" minRefreshableVersion="3" recordCount="99" xr:uid="{8154B2D8-6ABF-4800-BF1A-205462BCFC4F}">
  <cacheSource type="worksheet">
    <worksheetSource ref="B7:L106" sheet="statystyki_opisowe"/>
  </cacheSource>
  <cacheFields count="11">
    <cacheField name="ID" numFmtId="0">
      <sharedItems containsSemiMixedTypes="0" containsString="0" containsNumber="1" containsInteger="1" minValue="1" maxValue="100"/>
    </cacheField>
    <cacheField name="Stanowisko" numFmtId="0">
      <sharedItems/>
    </cacheField>
    <cacheField name="Doświadczenie_lata" numFmtId="0">
      <sharedItems containsSemiMixedTypes="0" containsString="0" containsNumber="1" minValue="0.5" maxValue="15"/>
    </cacheField>
    <cacheField name="Technologia" numFmtId="0">
      <sharedItems count="4">
        <s v="Java"/>
        <s v="Python"/>
        <s v="SQL"/>
        <s v="R"/>
      </sharedItems>
    </cacheField>
    <cacheField name="Wynagrodzenie_brutto" numFmtId="0">
      <sharedItems containsSemiMixedTypes="0" containsString="0" containsNumber="1" containsInteger="1" minValue="5500" maxValue="28000"/>
    </cacheField>
    <cacheField name="Wielkość_firmy" numFmtId="0">
      <sharedItems count="3">
        <s v="Mała"/>
        <s v="Duża"/>
        <s v="Średnia"/>
      </sharedItems>
    </cacheField>
    <cacheField name="Język_obcy" numFmtId="0">
      <sharedItems count="2">
        <s v="Tak"/>
        <s v="Nie"/>
      </sharedItems>
    </cacheField>
    <cacheField name="Wynagrodzenie_netto" numFmtId="0">
      <sharedItems containsSemiMixedTypes="0" containsString="0" containsNumber="1" containsInteger="1" minValue="3905" maxValue="19880"/>
    </cacheField>
    <cacheField name="Wynagr_standaryzowane" numFmtId="164">
      <sharedItems containsSemiMixedTypes="0" containsString="0" containsNumber="1" minValue="-1.2093337607068508" maxValue="2.413300655611748"/>
    </cacheField>
    <cacheField name="Dosw_standaryzowane" numFmtId="164">
      <sharedItems containsSemiMixedTypes="0" containsString="0" containsNumber="1" minValue="-1.220056647922352" maxValue="2.5262349415803995"/>
    </cacheField>
    <cacheField name="Poziom_stanowisk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"/>
    <s v="Developer"/>
    <n v="2"/>
    <x v="0"/>
    <n v="8500"/>
    <x v="0"/>
    <x v="0"/>
    <n v="6035"/>
    <n v="-0.72631583853103754"/>
    <n v="-0.8325092421117225"/>
    <s v="Mid"/>
  </r>
  <r>
    <n v="2"/>
    <s v="Senior Dev"/>
    <n v="7"/>
    <x v="1"/>
    <n v="15200"/>
    <x v="1"/>
    <x v="0"/>
    <n v="10792"/>
    <n v="0.35242418766161188"/>
    <n v="0.45931544392370893"/>
    <s v="Senior"/>
  </r>
  <r>
    <n v="3"/>
    <s v="Developer"/>
    <n v="3"/>
    <x v="2"/>
    <n v="9200"/>
    <x v="2"/>
    <x v="1"/>
    <n v="6532"/>
    <n v="-0.6136116566900145"/>
    <n v="-0.57414430490463619"/>
    <s v="Mid"/>
  </r>
  <r>
    <n v="4"/>
    <s v="Junior Data Scientist"/>
    <n v="1"/>
    <x v="0"/>
    <n v="6200"/>
    <x v="0"/>
    <x v="0"/>
    <n v="4402"/>
    <n v="-1.0966295788658278"/>
    <n v="-1.0908741793188088"/>
    <s v="Junior"/>
  </r>
  <r>
    <n v="5"/>
    <s v="Developer"/>
    <n v="4"/>
    <x v="3"/>
    <n v="10800"/>
    <x v="2"/>
    <x v="0"/>
    <n v="7668"/>
    <n v="-0.35600209819624745"/>
    <n v="-0.31577936769754994"/>
    <s v="Mid"/>
  </r>
  <r>
    <n v="6"/>
    <s v="Architect"/>
    <n v="10"/>
    <x v="0"/>
    <n v="22500"/>
    <x v="1"/>
    <x v="0"/>
    <n v="15975"/>
    <n v="1.527767798289424"/>
    <n v="1.2344102555449679"/>
    <s v="Senior"/>
  </r>
  <r>
    <n v="7"/>
    <s v="Senior Dev"/>
    <n v="6"/>
    <x v="2"/>
    <n v="14100"/>
    <x v="1"/>
    <x v="0"/>
    <n v="10011"/>
    <n v="0.17531761619714706"/>
    <n v="0.20095050671662265"/>
    <s v="Senior"/>
  </r>
  <r>
    <n v="8"/>
    <s v="Developer"/>
    <n v="3"/>
    <x v="1"/>
    <n v="9800"/>
    <x v="2"/>
    <x v="1"/>
    <n v="6958"/>
    <n v="-0.5170080722548519"/>
    <n v="-0.57414430490463619"/>
    <s v="Mid"/>
  </r>
  <r>
    <n v="9"/>
    <s v="Junior Data Scientist"/>
    <n v="1"/>
    <x v="1"/>
    <n v="5900"/>
    <x v="0"/>
    <x v="1"/>
    <n v="4189"/>
    <n v="-1.144931371083409"/>
    <n v="-1.0908741793188088"/>
    <s v="Junior"/>
  </r>
  <r>
    <n v="10"/>
    <s v="Developer"/>
    <n v="5"/>
    <x v="0"/>
    <n v="12300"/>
    <x v="2"/>
    <x v="0"/>
    <n v="8733"/>
    <n v="-0.11449313710834086"/>
    <n v="-5.7414430490463644E-2"/>
    <s v="Mid"/>
  </r>
  <r>
    <n v="11"/>
    <s v="Architect"/>
    <n v="12"/>
    <x v="1"/>
    <n v="24800"/>
    <x v="1"/>
    <x v="0"/>
    <n v="17608"/>
    <n v="1.8980815386242142"/>
    <n v="1.7511401299591405"/>
    <s v="Senior"/>
  </r>
  <r>
    <n v="12"/>
    <s v="Senior Dev"/>
    <n v="8"/>
    <x v="3"/>
    <n v="16700"/>
    <x v="1"/>
    <x v="0"/>
    <n v="11857"/>
    <n v="0.59393314874951852"/>
    <n v="0.71768038113079524"/>
    <s v="Senior"/>
  </r>
  <r>
    <n v="13"/>
    <s v="Developer"/>
    <n v="2"/>
    <x v="2"/>
    <n v="8200"/>
    <x v="0"/>
    <x v="1"/>
    <n v="5822"/>
    <n v="-0.77461763074861889"/>
    <n v="-0.8325092421117225"/>
    <s v="Mid"/>
  </r>
  <r>
    <n v="14"/>
    <s v="Junior Data Scientist"/>
    <n v="1"/>
    <x v="2"/>
    <n v="6500"/>
    <x v="2"/>
    <x v="0"/>
    <n v="4615"/>
    <n v="-1.0483277866482463"/>
    <n v="-1.0908741793188088"/>
    <s v="Junior"/>
  </r>
  <r>
    <n v="15"/>
    <s v="Developer"/>
    <n v="4"/>
    <x v="1"/>
    <n v="11200"/>
    <x v="2"/>
    <x v="0"/>
    <n v="7952"/>
    <n v="-0.2915997085728057"/>
    <n v="-0.31577936769754994"/>
    <s v="Mid"/>
  </r>
  <r>
    <n v="16"/>
    <s v="Senior Dev"/>
    <n v="9"/>
    <x v="0"/>
    <n v="17500"/>
    <x v="1"/>
    <x v="0"/>
    <n v="12425"/>
    <n v="0.72273792799640202"/>
    <n v="0.97604531833788155"/>
    <s v="Senior"/>
  </r>
  <r>
    <n v="17"/>
    <s v="Developer"/>
    <n v="3"/>
    <x v="3"/>
    <n v="9500"/>
    <x v="0"/>
    <x v="1"/>
    <n v="6745"/>
    <n v="-0.56530986447243314"/>
    <n v="-0.57414430490463619"/>
    <s v="Mid"/>
  </r>
  <r>
    <n v="18"/>
    <s v="Architect"/>
    <n v="11"/>
    <x v="2"/>
    <n v="23200"/>
    <x v="1"/>
    <x v="0"/>
    <n v="16472"/>
    <n v="1.640471980130447"/>
    <n v="1.4927751927520541"/>
    <s v="Senior"/>
  </r>
  <r>
    <n v="19"/>
    <s v="Developer"/>
    <n v="2"/>
    <x v="1"/>
    <n v="8800"/>
    <x v="2"/>
    <x v="0"/>
    <n v="6248"/>
    <n v="-0.6780140463134563"/>
    <n v="-0.8325092421117225"/>
    <s v="Mid"/>
  </r>
  <r>
    <n v="20"/>
    <s v="Junior Data Scientist"/>
    <n v="0.5"/>
    <x v="3"/>
    <n v="5500"/>
    <x v="0"/>
    <x v="1"/>
    <n v="3905"/>
    <n v="-1.2093337607068508"/>
    <n v="-1.220056647922352"/>
    <s v="Junior"/>
  </r>
  <r>
    <n v="21"/>
    <s v="Senior Dev"/>
    <n v="7"/>
    <x v="1"/>
    <n v="15800"/>
    <x v="1"/>
    <x v="0"/>
    <n v="11218"/>
    <n v="0.44902777209677452"/>
    <n v="0.45931544392370893"/>
    <s v="Senior"/>
  </r>
  <r>
    <n v="22"/>
    <s v="Developer"/>
    <n v="5"/>
    <x v="2"/>
    <n v="12700"/>
    <x v="2"/>
    <x v="0"/>
    <n v="9017"/>
    <n v="-5.0090747484899098E-2"/>
    <n v="-5.7414430490463644E-2"/>
    <s v="Mid"/>
  </r>
  <r>
    <n v="23"/>
    <s v="Developer"/>
    <n v="3"/>
    <x v="0"/>
    <n v="9600"/>
    <x v="2"/>
    <x v="1"/>
    <n v="6816"/>
    <n v="-0.54920926706657269"/>
    <n v="-0.57414430490463619"/>
    <s v="Mid"/>
  </r>
  <r>
    <n v="24"/>
    <s v="Architect"/>
    <n v="13"/>
    <x v="3"/>
    <n v="25500"/>
    <x v="1"/>
    <x v="0"/>
    <n v="18105"/>
    <n v="2.0107857204652371"/>
    <n v="2.0095050671662267"/>
    <s v="Senior"/>
  </r>
  <r>
    <n v="25"/>
    <s v="Junior Data Scientist"/>
    <n v="1"/>
    <x v="1"/>
    <n v="6100"/>
    <x v="0"/>
    <x v="1"/>
    <n v="4331"/>
    <n v="-1.1127301762716881"/>
    <n v="-1.0908741793188088"/>
    <s v="Junior"/>
  </r>
  <r>
    <n v="26"/>
    <s v="Senior Dev"/>
    <n v="8"/>
    <x v="2"/>
    <n v="16200"/>
    <x v="1"/>
    <x v="0"/>
    <n v="11502"/>
    <n v="0.51343016172021627"/>
    <n v="0.71768038113079524"/>
    <s v="Senior"/>
  </r>
  <r>
    <n v="27"/>
    <s v="Developer"/>
    <n v="4"/>
    <x v="0"/>
    <n v="10500"/>
    <x v="2"/>
    <x v="0"/>
    <n v="7455"/>
    <n v="-0.4043038904138288"/>
    <n v="-0.31577936769754994"/>
    <s v="Mid"/>
  </r>
  <r>
    <n v="28"/>
    <s v="Developer"/>
    <n v="2"/>
    <x v="3"/>
    <n v="8400"/>
    <x v="0"/>
    <x v="1"/>
    <n v="5964"/>
    <n v="-0.74241643593689799"/>
    <n v="-0.8325092421117225"/>
    <s v="Mid"/>
  </r>
  <r>
    <n v="29"/>
    <s v="Senior Dev"/>
    <n v="6"/>
    <x v="1"/>
    <n v="14500"/>
    <x v="1"/>
    <x v="0"/>
    <n v="10295"/>
    <n v="0.23972000582058881"/>
    <n v="0.20095050671662265"/>
    <s v="Senior"/>
  </r>
  <r>
    <n v="30"/>
    <s v="Developer"/>
    <n v="3"/>
    <x v="2"/>
    <n v="9300"/>
    <x v="2"/>
    <x v="0"/>
    <n v="6603"/>
    <n v="-0.59751105928415404"/>
    <n v="-0.57414430490463619"/>
    <s v="Mid"/>
  </r>
  <r>
    <n v="32"/>
    <s v="Junior Data Scientist"/>
    <n v="1"/>
    <x v="2"/>
    <n v="6400"/>
    <x v="0"/>
    <x v="0"/>
    <n v="4544"/>
    <n v="-1.0644283840541069"/>
    <n v="-1.0908741793188088"/>
    <s v="Junior"/>
  </r>
  <r>
    <n v="33"/>
    <s v="Developer"/>
    <n v="5"/>
    <x v="1"/>
    <n v="11800"/>
    <x v="2"/>
    <x v="0"/>
    <n v="8378"/>
    <n v="-0.19499612413764306"/>
    <n v="-5.7414430490463644E-2"/>
    <s v="Mid"/>
  </r>
  <r>
    <n v="34"/>
    <s v="Senior Dev"/>
    <n v="9"/>
    <x v="3"/>
    <n v="17200"/>
    <x v="1"/>
    <x v="0"/>
    <n v="12212"/>
    <n v="0.67443613577882067"/>
    <n v="0.97604531833788155"/>
    <s v="Senior"/>
  </r>
  <r>
    <n v="35"/>
    <s v="Developer"/>
    <n v="2"/>
    <x v="0"/>
    <n v="8600"/>
    <x v="0"/>
    <x v="1"/>
    <n v="6106"/>
    <n v="-0.71021524112517709"/>
    <n v="-0.8325092421117225"/>
    <s v="Mid"/>
  </r>
  <r>
    <n v="36"/>
    <s v="Developer"/>
    <n v="4"/>
    <x v="2"/>
    <n v="10200"/>
    <x v="2"/>
    <x v="0"/>
    <n v="7242"/>
    <n v="-0.4526056826314101"/>
    <n v="-0.31577936769754994"/>
    <s v="Mid"/>
  </r>
  <r>
    <n v="37"/>
    <s v="Junior Data Scientist"/>
    <n v="1"/>
    <x v="1"/>
    <n v="5800"/>
    <x v="0"/>
    <x v="1"/>
    <n v="4118"/>
    <n v="-1.1610319684892694"/>
    <n v="-1.0908741793188088"/>
    <s v="Junior"/>
  </r>
  <r>
    <n v="38"/>
    <s v="Architect"/>
    <n v="11"/>
    <x v="2"/>
    <n v="23800"/>
    <x v="1"/>
    <x v="0"/>
    <n v="16898"/>
    <n v="1.7370755645656097"/>
    <n v="1.4927751927520541"/>
    <s v="Senior"/>
  </r>
  <r>
    <n v="39"/>
    <s v="Developer"/>
    <n v="3"/>
    <x v="3"/>
    <n v="9700"/>
    <x v="2"/>
    <x v="1"/>
    <n v="6887"/>
    <n v="-0.53310866966071235"/>
    <n v="-0.57414430490463619"/>
    <s v="Mid"/>
  </r>
  <r>
    <n v="40"/>
    <s v="Senior Dev"/>
    <n v="7"/>
    <x v="0"/>
    <n v="15500"/>
    <x v="1"/>
    <x v="0"/>
    <n v="11005"/>
    <n v="0.40072597987919323"/>
    <n v="0.45931544392370893"/>
    <s v="Senior"/>
  </r>
  <r>
    <n v="41"/>
    <s v="Developer"/>
    <n v="5"/>
    <x v="1"/>
    <n v="12100"/>
    <x v="2"/>
    <x v="0"/>
    <n v="8591"/>
    <n v="-0.14669433192006173"/>
    <n v="-5.7414430490463644E-2"/>
    <s v="Mid"/>
  </r>
  <r>
    <n v="42"/>
    <s v="Developer"/>
    <n v="2"/>
    <x v="2"/>
    <n v="8300"/>
    <x v="0"/>
    <x v="1"/>
    <n v="5893"/>
    <n v="-0.75851703334275844"/>
    <n v="-0.8325092421117225"/>
    <s v="Mid"/>
  </r>
  <r>
    <n v="43"/>
    <s v="Junior Data Scientist"/>
    <n v="0.5"/>
    <x v="3"/>
    <n v="5600"/>
    <x v="0"/>
    <x v="0"/>
    <n v="3976"/>
    <n v="-1.1932331633009903"/>
    <n v="-1.220056647922352"/>
    <s v="Junior"/>
  </r>
  <r>
    <n v="44"/>
    <s v="Senior Dev"/>
    <n v="8"/>
    <x v="3"/>
    <n v="16500"/>
    <x v="1"/>
    <x v="0"/>
    <n v="11715"/>
    <n v="0.56173195393779762"/>
    <n v="0.71768038113079524"/>
    <s v="Senior"/>
  </r>
  <r>
    <n v="45"/>
    <s v="Developer"/>
    <n v="4"/>
    <x v="1"/>
    <n v="10900"/>
    <x v="2"/>
    <x v="0"/>
    <n v="7739"/>
    <n v="-0.339901500790387"/>
    <n v="-0.31577936769754994"/>
    <s v="Mid"/>
  </r>
  <r>
    <n v="46"/>
    <s v="Architect"/>
    <n v="12"/>
    <x v="1"/>
    <n v="24500"/>
    <x v="1"/>
    <x v="0"/>
    <n v="17395"/>
    <n v="1.8497797464066328"/>
    <n v="1.7511401299591405"/>
    <s v="Senior"/>
  </r>
  <r>
    <n v="47"/>
    <s v="Developer"/>
    <n v="3"/>
    <x v="0"/>
    <n v="9400"/>
    <x v="2"/>
    <x v="1"/>
    <n v="6674"/>
    <n v="-0.58141046187829359"/>
    <n v="-0.57414430490463619"/>
    <s v="Mid"/>
  </r>
  <r>
    <n v="48"/>
    <s v="Developer"/>
    <n v="2"/>
    <x v="3"/>
    <n v="8700"/>
    <x v="0"/>
    <x v="1"/>
    <n v="6177"/>
    <n v="-0.69411464371931675"/>
    <n v="-0.8325092421117225"/>
    <s v="Mid"/>
  </r>
  <r>
    <n v="49"/>
    <s v="Senior Dev"/>
    <n v="6"/>
    <x v="2"/>
    <n v="14300"/>
    <x v="1"/>
    <x v="0"/>
    <n v="10153"/>
    <n v="0.20751881100886793"/>
    <n v="0.20095050671662265"/>
    <s v="Senior"/>
  </r>
  <r>
    <n v="50"/>
    <s v="Developer"/>
    <n v="5"/>
    <x v="0"/>
    <n v="12500"/>
    <x v="2"/>
    <x v="0"/>
    <n v="8875"/>
    <n v="-8.2291942296619985E-2"/>
    <n v="-5.7414430490463644E-2"/>
    <s v="Mid"/>
  </r>
  <r>
    <n v="51"/>
    <s v="Junior Data Scientist"/>
    <n v="1"/>
    <x v="3"/>
    <n v="6000"/>
    <x v="0"/>
    <x v="1"/>
    <n v="4260"/>
    <n v="-1.1288307736775485"/>
    <n v="-1.0908741793188088"/>
    <s v="Junior"/>
  </r>
  <r>
    <n v="52"/>
    <s v="Developer"/>
    <n v="3"/>
    <x v="1"/>
    <n v="9700"/>
    <x v="2"/>
    <x v="0"/>
    <n v="6887"/>
    <n v="-0.53310866966071235"/>
    <n v="-0.57414430490463619"/>
    <s v="Mid"/>
  </r>
  <r>
    <n v="53"/>
    <s v="Senior Dev"/>
    <n v="7"/>
    <x v="0"/>
    <n v="16000"/>
    <x v="1"/>
    <x v="0"/>
    <n v="11360"/>
    <n v="0.48122896690849543"/>
    <n v="0.45931544392370893"/>
    <s v="Senior"/>
  </r>
  <r>
    <n v="54"/>
    <s v="Developer"/>
    <n v="4"/>
    <x v="2"/>
    <n v="10400"/>
    <x v="2"/>
    <x v="0"/>
    <n v="7384"/>
    <n v="-0.4204044878196892"/>
    <n v="-0.31577936769754994"/>
    <s v="Mid"/>
  </r>
  <r>
    <n v="55"/>
    <s v="Architect"/>
    <n v="11"/>
    <x v="0"/>
    <n v="23500"/>
    <x v="1"/>
    <x v="0"/>
    <n v="16685"/>
    <n v="1.6887737723480285"/>
    <n v="1.4927751927520541"/>
    <s v="Senior"/>
  </r>
  <r>
    <n v="56"/>
    <s v="Developer"/>
    <n v="2"/>
    <x v="1"/>
    <n v="8900"/>
    <x v="0"/>
    <x v="1"/>
    <n v="6319"/>
    <n v="-0.66191344890759585"/>
    <n v="-0.8325092421117225"/>
    <s v="Mid"/>
  </r>
  <r>
    <n v="57"/>
    <s v="Junior Data Scientist"/>
    <n v="1"/>
    <x v="2"/>
    <n v="6300"/>
    <x v="0"/>
    <x v="0"/>
    <n v="4473"/>
    <n v="-1.0805289814599672"/>
    <n v="-1.0908741793188088"/>
    <s v="Junior"/>
  </r>
  <r>
    <n v="58"/>
    <s v="Senior Dev"/>
    <n v="8"/>
    <x v="1"/>
    <n v="16800"/>
    <x v="1"/>
    <x v="0"/>
    <n v="11928"/>
    <n v="0.61003374615537898"/>
    <n v="0.71768038113079524"/>
    <s v="Senior"/>
  </r>
  <r>
    <n v="59"/>
    <s v="Developer"/>
    <n v="5"/>
    <x v="3"/>
    <n v="12000"/>
    <x v="2"/>
    <x v="0"/>
    <n v="8520"/>
    <n v="-0.16279492932592218"/>
    <n v="-5.7414430490463644E-2"/>
    <s v="Mid"/>
  </r>
  <r>
    <n v="60"/>
    <s v="Architect"/>
    <n v="13"/>
    <x v="2"/>
    <n v="25800"/>
    <x v="1"/>
    <x v="0"/>
    <n v="18318"/>
    <n v="2.0590875126828188"/>
    <n v="2.0095050671662267"/>
    <s v="Senior"/>
  </r>
  <r>
    <n v="61"/>
    <s v="Developer"/>
    <n v="3"/>
    <x v="0"/>
    <n v="9500"/>
    <x v="2"/>
    <x v="0"/>
    <n v="6745"/>
    <n v="-0.56530986447243314"/>
    <n v="-0.57414430490463619"/>
    <s v="Mid"/>
  </r>
  <r>
    <n v="62"/>
    <s v="Senior Dev"/>
    <n v="6"/>
    <x v="1"/>
    <n v="14800"/>
    <x v="1"/>
    <x v="0"/>
    <n v="10508"/>
    <n v="0.28802179803817013"/>
    <n v="0.20095050671662265"/>
    <s v="Senior"/>
  </r>
  <r>
    <n v="63"/>
    <s v="Developer"/>
    <n v="4"/>
    <x v="2"/>
    <n v="11000"/>
    <x v="2"/>
    <x v="0"/>
    <n v="7810"/>
    <n v="-0.32380090338452661"/>
    <n v="-0.31577936769754994"/>
    <s v="Mid"/>
  </r>
  <r>
    <n v="64"/>
    <s v="Junior Data Scientist"/>
    <n v="1"/>
    <x v="1"/>
    <n v="6000"/>
    <x v="0"/>
    <x v="1"/>
    <n v="4260"/>
    <n v="-1.1288307736775485"/>
    <n v="-1.0908741793188088"/>
    <s v="Junior"/>
  </r>
  <r>
    <n v="65"/>
    <s v="Architect"/>
    <n v="12"/>
    <x v="3"/>
    <n v="24200"/>
    <x v="1"/>
    <x v="0"/>
    <n v="17182"/>
    <n v="1.8014779541890515"/>
    <n v="1.7511401299591405"/>
    <s v="Senior"/>
  </r>
  <r>
    <n v="66"/>
    <s v="Developer"/>
    <n v="2"/>
    <x v="0"/>
    <n v="8800"/>
    <x v="0"/>
    <x v="1"/>
    <n v="6248"/>
    <n v="-0.6780140463134563"/>
    <n v="-0.8325092421117225"/>
    <s v="Mid"/>
  </r>
  <r>
    <n v="67"/>
    <s v="Senior Dev"/>
    <n v="9"/>
    <x v="2"/>
    <n v="17000"/>
    <x v="1"/>
    <x v="0"/>
    <n v="12070"/>
    <n v="0.64223494096709977"/>
    <n v="0.97604531833788155"/>
    <s v="Senior"/>
  </r>
  <r>
    <n v="68"/>
    <s v="Developer"/>
    <n v="5"/>
    <x v="1"/>
    <n v="11900"/>
    <x v="2"/>
    <x v="0"/>
    <n v="8449"/>
    <n v="-0.17889552673178263"/>
    <n v="-5.7414430490463644E-2"/>
    <s v="Mid"/>
  </r>
  <r>
    <n v="69"/>
    <s v="Junior Data Scientist"/>
    <n v="1"/>
    <x v="2"/>
    <n v="6500"/>
    <x v="0"/>
    <x v="0"/>
    <n v="4615"/>
    <n v="-1.0483277866482463"/>
    <n v="-1.0908741793188088"/>
    <s v="Junior"/>
  </r>
  <r>
    <n v="70"/>
    <s v="Architect"/>
    <n v="14"/>
    <x v="1"/>
    <n v="26800"/>
    <x v="1"/>
    <x v="0"/>
    <n v="19028"/>
    <n v="2.220093486741423"/>
    <n v="2.2678700043733131"/>
    <s v="Senior"/>
  </r>
  <r>
    <n v="71"/>
    <s v="Developer"/>
    <n v="3"/>
    <x v="3"/>
    <n v="9800"/>
    <x v="2"/>
    <x v="1"/>
    <n v="6958"/>
    <n v="-0.5170080722548519"/>
    <n v="-0.57414430490463619"/>
    <s v="Mid"/>
  </r>
  <r>
    <n v="72"/>
    <s v="Senior Dev"/>
    <n v="7"/>
    <x v="0"/>
    <n v="15900"/>
    <x v="1"/>
    <x v="0"/>
    <n v="11289"/>
    <n v="0.46512836950263498"/>
    <n v="0.45931544392370893"/>
    <s v="Senior"/>
  </r>
  <r>
    <n v="73"/>
    <s v="Developer"/>
    <n v="4"/>
    <x v="2"/>
    <n v="10700"/>
    <x v="2"/>
    <x v="0"/>
    <n v="7597"/>
    <n v="-0.3721026956021079"/>
    <n v="-0.31577936769754994"/>
    <s v="Mid"/>
  </r>
  <r>
    <n v="74"/>
    <s v="Junior Data Scientist"/>
    <n v="0.5"/>
    <x v="1"/>
    <n v="5600"/>
    <x v="0"/>
    <x v="1"/>
    <n v="3976"/>
    <n v="-1.1932331633009903"/>
    <n v="-1.220056647922352"/>
    <s v="Junior"/>
  </r>
  <r>
    <n v="75"/>
    <s v="Architect"/>
    <n v="11"/>
    <x v="0"/>
    <n v="23300"/>
    <x v="1"/>
    <x v="0"/>
    <n v="16543"/>
    <n v="1.6565725775363076"/>
    <n v="1.4927751927520541"/>
    <s v="Senior"/>
  </r>
  <r>
    <n v="76"/>
    <s v="Developer"/>
    <n v="2"/>
    <x v="2"/>
    <n v="8600"/>
    <x v="0"/>
    <x v="1"/>
    <n v="6106"/>
    <n v="-0.71021524112517709"/>
    <n v="-0.8325092421117225"/>
    <s v="Mid"/>
  </r>
  <r>
    <n v="77"/>
    <s v="Senior Dev"/>
    <n v="8"/>
    <x v="3"/>
    <n v="16900"/>
    <x v="1"/>
    <x v="0"/>
    <n v="11999"/>
    <n v="0.62613434356123943"/>
    <n v="0.71768038113079524"/>
    <s v="Senior"/>
  </r>
  <r>
    <n v="78"/>
    <s v="Developer"/>
    <n v="5"/>
    <x v="1"/>
    <n v="12200"/>
    <x v="2"/>
    <x v="0"/>
    <n v="8662"/>
    <n v="-0.13059373451420131"/>
    <n v="-5.7414430490463644E-2"/>
    <s v="Mid"/>
  </r>
  <r>
    <n v="79"/>
    <s v="Junior Data Scientist"/>
    <n v="1"/>
    <x v="0"/>
    <n v="6100"/>
    <x v="0"/>
    <x v="0"/>
    <n v="4331"/>
    <n v="-1.1127301762716881"/>
    <n v="-1.0908741793188088"/>
    <s v="Junior"/>
  </r>
  <r>
    <n v="80"/>
    <s v="Architect"/>
    <n v="13"/>
    <x v="2"/>
    <n v="25700"/>
    <x v="1"/>
    <x v="0"/>
    <n v="18247"/>
    <n v="2.0429869152769582"/>
    <n v="2.0095050671662267"/>
    <s v="Senior"/>
  </r>
  <r>
    <n v="81"/>
    <s v="Developer"/>
    <n v="3"/>
    <x v="1"/>
    <n v="9400"/>
    <x v="2"/>
    <x v="1"/>
    <n v="6674"/>
    <n v="-0.58141046187829359"/>
    <n v="-0.57414430490463619"/>
    <s v="Mid"/>
  </r>
  <r>
    <n v="82"/>
    <s v="Senior Dev"/>
    <n v="6"/>
    <x v="0"/>
    <n v="15000"/>
    <x v="1"/>
    <x v="0"/>
    <n v="10650"/>
    <n v="0.32022299284989103"/>
    <n v="0.20095050671662265"/>
    <s v="Senior"/>
  </r>
  <r>
    <n v="83"/>
    <s v="Developer"/>
    <n v="4"/>
    <x v="3"/>
    <n v="10800"/>
    <x v="2"/>
    <x v="0"/>
    <n v="7668"/>
    <n v="-0.35600209819624745"/>
    <n v="-0.31577936769754994"/>
    <s v="Mid"/>
  </r>
  <r>
    <n v="84"/>
    <s v="Junior Data Scientist"/>
    <n v="1"/>
    <x v="2"/>
    <n v="6400"/>
    <x v="0"/>
    <x v="0"/>
    <n v="4544"/>
    <n v="-1.0644283840541069"/>
    <n v="-1.0908741793188088"/>
    <s v="Junior"/>
  </r>
  <r>
    <n v="85"/>
    <s v="Architect"/>
    <n v="12"/>
    <x v="1"/>
    <n v="24600"/>
    <x v="1"/>
    <x v="0"/>
    <n v="17466"/>
    <n v="1.8658803438124933"/>
    <n v="1.7511401299591405"/>
    <s v="Senior"/>
  </r>
  <r>
    <n v="86"/>
    <s v="Developer"/>
    <n v="2"/>
    <x v="0"/>
    <n v="8700"/>
    <x v="0"/>
    <x v="1"/>
    <n v="6177"/>
    <n v="-0.69411464371931675"/>
    <n v="-0.8325092421117225"/>
    <s v="Mid"/>
  </r>
  <r>
    <n v="87"/>
    <s v="Senior Dev"/>
    <n v="9"/>
    <x v="2"/>
    <n v="17100"/>
    <x v="1"/>
    <x v="0"/>
    <n v="12141"/>
    <n v="0.65833553837296022"/>
    <n v="0.97604531833788155"/>
    <s v="Senior"/>
  </r>
  <r>
    <n v="88"/>
    <s v="Developer"/>
    <n v="5"/>
    <x v="1"/>
    <n v="12300"/>
    <x v="2"/>
    <x v="0"/>
    <n v="8733"/>
    <n v="-0.11449313710834086"/>
    <n v="-5.7414430490463644E-2"/>
    <s v="Mid"/>
  </r>
  <r>
    <n v="89"/>
    <s v="Junior Data Scientist"/>
    <n v="0.5"/>
    <x v="3"/>
    <n v="5700"/>
    <x v="0"/>
    <x v="1"/>
    <n v="4047"/>
    <n v="-1.1771325658951299"/>
    <n v="-1.220056647922352"/>
    <s v="Junior"/>
  </r>
  <r>
    <n v="90"/>
    <s v="Architect"/>
    <n v="14"/>
    <x v="0"/>
    <n v="27000"/>
    <x v="1"/>
    <x v="0"/>
    <n v="19170"/>
    <n v="2.2522946815531437"/>
    <n v="2.2678700043733131"/>
    <s v="Senior"/>
  </r>
  <r>
    <n v="91"/>
    <s v="Developer"/>
    <n v="3"/>
    <x v="2"/>
    <n v="9600"/>
    <x v="2"/>
    <x v="0"/>
    <n v="6816"/>
    <n v="-0.54920926706657269"/>
    <n v="-0.57414430490463619"/>
    <s v="Mid"/>
  </r>
  <r>
    <n v="92"/>
    <s v="Senior Dev"/>
    <n v="7"/>
    <x v="1"/>
    <n v="15600"/>
    <x v="1"/>
    <x v="0"/>
    <n v="11076"/>
    <n v="0.41682657728505368"/>
    <n v="0.45931544392370893"/>
    <s v="Senior"/>
  </r>
  <r>
    <n v="93"/>
    <s v="Developer"/>
    <n v="4"/>
    <x v="0"/>
    <n v="10600"/>
    <x v="2"/>
    <x v="0"/>
    <n v="7526"/>
    <n v="-0.38820329300796835"/>
    <n v="-0.31577936769754994"/>
    <s v="Mid"/>
  </r>
  <r>
    <n v="94"/>
    <s v="Junior Data Scientist"/>
    <n v="1"/>
    <x v="1"/>
    <n v="6000"/>
    <x v="0"/>
    <x v="1"/>
    <n v="4260"/>
    <n v="-1.1288307736775485"/>
    <n v="-1.0908741793188088"/>
    <s v="Junior"/>
  </r>
  <r>
    <n v="95"/>
    <s v="Architect"/>
    <n v="11"/>
    <x v="3"/>
    <n v="23900"/>
    <x v="1"/>
    <x v="0"/>
    <n v="16969"/>
    <n v="1.7531761619714701"/>
    <n v="1.4927751927520541"/>
    <s v="Senior"/>
  </r>
  <r>
    <n v="96"/>
    <s v="Developer"/>
    <n v="2"/>
    <x v="2"/>
    <n v="8800"/>
    <x v="0"/>
    <x v="1"/>
    <n v="6248"/>
    <n v="-0.6780140463134563"/>
    <n v="-0.8325092421117225"/>
    <s v="Mid"/>
  </r>
  <r>
    <n v="97"/>
    <s v="Senior Dev"/>
    <n v="8"/>
    <x v="0"/>
    <n v="16600"/>
    <x v="1"/>
    <x v="0"/>
    <n v="11786"/>
    <n v="0.57783255134365807"/>
    <n v="0.71768038113079524"/>
    <s v="Senior"/>
  </r>
  <r>
    <n v="98"/>
    <s v="Developer"/>
    <n v="5"/>
    <x v="1"/>
    <n v="12000"/>
    <x v="2"/>
    <x v="0"/>
    <n v="8520"/>
    <n v="-0.16279492932592218"/>
    <n v="-5.7414430490463644E-2"/>
    <s v="Mid"/>
  </r>
  <r>
    <n v="99"/>
    <s v="Junior Data Scientist"/>
    <n v="1"/>
    <x v="2"/>
    <n v="6500"/>
    <x v="0"/>
    <x v="0"/>
    <n v="4615"/>
    <n v="-1.0483277866482463"/>
    <n v="-1.0908741793188088"/>
    <s v="Junior"/>
  </r>
  <r>
    <n v="100"/>
    <s v="Architect"/>
    <n v="15"/>
    <x v="1"/>
    <n v="28000"/>
    <x v="1"/>
    <x v="0"/>
    <n v="19880"/>
    <n v="2.413300655611748"/>
    <n v="2.5262349415803995"/>
    <s v="Seni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E23C4-A126-4258-9933-930A5EAD51C9}" name="Tabela przestawna8" cacheId="3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Q52:R5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numFmtId="164" showAll="0"/>
    <pivotField numFmtId="164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Średnia z Wynagrodzenie_netto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43F96-2FE2-4049-B0EF-4429C5CC6B8A}" name="Tabela przestawna7" cacheId="3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Q41:R46" firstHeaderRow="1" firstDataRow="1" firstDataCol="1"/>
  <pivotFields count="11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Średnia z Wynagrodzenie_netto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F4270-F6B3-416C-8381-F05CE640C536}" name="Tabela przestawna6" cacheId="3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56:P60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numFmtId="164" showAll="0"/>
    <pivotField numFmtId="164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Średnia z Wynagrodzenie_netto" fld="7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zoomScale="115" zoomScaleNormal="115" workbookViewId="0">
      <selection activeCell="Q2" sqref="Q2"/>
    </sheetView>
  </sheetViews>
  <sheetFormatPr defaultColWidth="9.140625" defaultRowHeight="12.75"/>
  <cols>
    <col min="1" max="1" width="9.140625" style="1"/>
    <col min="2" max="2" width="10.42578125" style="1" customWidth="1"/>
    <col min="3" max="3" width="10.85546875" style="2" customWidth="1"/>
    <col min="4" max="4" width="9.85546875" style="1" customWidth="1"/>
    <col min="5" max="5" width="11.42578125" style="1" customWidth="1"/>
    <col min="6" max="6" width="10.42578125" style="1" customWidth="1"/>
    <col min="7" max="16384" width="9.140625" style="1"/>
  </cols>
  <sheetData>
    <row r="1" spans="1:16" ht="15.75">
      <c r="A1" s="5"/>
    </row>
    <row r="2" spans="1:16" s="8" customFormat="1" ht="19.350000000000001" customHeight="1">
      <c r="A2" s="6"/>
      <c r="B2" s="6"/>
      <c r="C2" s="7"/>
    </row>
    <row r="3" spans="1:16" ht="16.5" customHeight="1"/>
    <row r="4" spans="1:16" ht="18.75" customHeight="1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ht="16.5" customHeight="1">
      <c r="C5" s="4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>
      <c r="C6" s="10"/>
    </row>
    <row r="19" spans="7:7">
      <c r="G19" s="3"/>
    </row>
    <row r="60" spans="13:13">
      <c r="M60" s="2"/>
    </row>
    <row r="63" spans="13:13">
      <c r="M63" s="2"/>
    </row>
    <row r="76" spans="3:12">
      <c r="C76" s="1"/>
      <c r="L76" s="2"/>
    </row>
    <row r="108" spans="11:11">
      <c r="K108" s="3"/>
    </row>
  </sheetData>
  <pageMargins left="0.39370078740157483" right="0.39370078740157483" top="0.98425196850393704" bottom="0.98425196850393704" header="0.51181102362204722" footer="0.51181102362204722"/>
  <pageSetup paperSize="9" orientation="landscape" r:id="rId1"/>
  <headerFooter alignWithMargins="0">
    <oddFooter>&amp;LCopyright: Przemysław Kusztelak &amp; Tomasz Kopczewski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9C96-C5FD-4543-8CDF-D77EF37DCDA8}">
  <dimension ref="L1:R44"/>
  <sheetViews>
    <sheetView zoomScaleNormal="100" workbookViewId="0">
      <selection activeCell="C29" sqref="C29"/>
    </sheetView>
  </sheetViews>
  <sheetFormatPr defaultColWidth="8.85546875" defaultRowHeight="12.75"/>
  <cols>
    <col min="12" max="12" width="7.140625" customWidth="1"/>
    <col min="13" max="13" width="20.85546875" customWidth="1"/>
    <col min="14" max="14" width="18.85546875" customWidth="1"/>
    <col min="15" max="15" width="13.28515625" customWidth="1"/>
    <col min="16" max="16" width="25.140625" customWidth="1"/>
    <col min="17" max="17" width="19.85546875" customWidth="1"/>
    <col min="18" max="18" width="14.7109375" customWidth="1"/>
  </cols>
  <sheetData>
    <row r="1" spans="12:18">
      <c r="L1" s="12"/>
      <c r="M1" s="12"/>
      <c r="N1" s="12"/>
      <c r="O1" s="12"/>
      <c r="P1" s="12"/>
      <c r="Q1" s="12"/>
      <c r="R1" s="12"/>
    </row>
    <row r="21" spans="15:15">
      <c r="O21" s="3"/>
    </row>
    <row r="44" spans="15:15">
      <c r="O44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92A1-8735-4B8F-856A-5CE41EF3C668}">
  <dimension ref="L1:R109"/>
  <sheetViews>
    <sheetView topLeftCell="A35" workbookViewId="0">
      <selection activeCell="L2" sqref="L2:R109"/>
    </sheetView>
  </sheetViews>
  <sheetFormatPr defaultColWidth="8.85546875" defaultRowHeight="12.75"/>
  <cols>
    <col min="12" max="12" width="7.140625" customWidth="1"/>
    <col min="13" max="13" width="20.85546875" customWidth="1"/>
    <col min="14" max="14" width="18.85546875" customWidth="1"/>
    <col min="15" max="15" width="13.28515625" customWidth="1"/>
    <col min="16" max="16" width="25.140625" customWidth="1"/>
    <col min="17" max="17" width="19.85546875" customWidth="1"/>
    <col min="18" max="18" width="14.7109375" customWidth="1"/>
  </cols>
  <sheetData>
    <row r="1" spans="12:18">
      <c r="L1" s="12" t="s">
        <v>0</v>
      </c>
      <c r="M1" s="12" t="s">
        <v>1</v>
      </c>
      <c r="N1" s="12" t="s">
        <v>2</v>
      </c>
      <c r="O1" s="12" t="s">
        <v>3</v>
      </c>
      <c r="P1" s="12" t="s">
        <v>4</v>
      </c>
      <c r="Q1" s="12" t="s">
        <v>5</v>
      </c>
      <c r="R1" s="12" t="s">
        <v>6</v>
      </c>
    </row>
    <row r="2" spans="12:18">
      <c r="L2">
        <v>1</v>
      </c>
      <c r="M2" t="s">
        <v>7</v>
      </c>
      <c r="N2">
        <v>2</v>
      </c>
      <c r="O2" t="s">
        <v>8</v>
      </c>
      <c r="P2">
        <v>8500</v>
      </c>
      <c r="Q2" t="s">
        <v>9</v>
      </c>
      <c r="R2" t="s">
        <v>10</v>
      </c>
    </row>
    <row r="3" spans="12:18">
      <c r="L3">
        <v>2</v>
      </c>
      <c r="M3" t="s">
        <v>11</v>
      </c>
      <c r="N3">
        <v>7</v>
      </c>
      <c r="O3" t="s">
        <v>12</v>
      </c>
      <c r="P3">
        <v>15200</v>
      </c>
      <c r="Q3" t="s">
        <v>13</v>
      </c>
      <c r="R3" t="s">
        <v>10</v>
      </c>
    </row>
    <row r="4" spans="12:18">
      <c r="L4">
        <v>3</v>
      </c>
      <c r="M4" t="s">
        <v>7</v>
      </c>
      <c r="N4">
        <v>3</v>
      </c>
      <c r="O4" t="s">
        <v>14</v>
      </c>
      <c r="P4">
        <v>9200</v>
      </c>
      <c r="Q4" t="s">
        <v>15</v>
      </c>
      <c r="R4" t="s">
        <v>16</v>
      </c>
    </row>
    <row r="5" spans="12:18">
      <c r="L5">
        <v>4</v>
      </c>
      <c r="M5" t="s">
        <v>17</v>
      </c>
      <c r="N5">
        <v>1</v>
      </c>
      <c r="O5" t="s">
        <v>8</v>
      </c>
      <c r="P5">
        <v>6200</v>
      </c>
      <c r="Q5" t="s">
        <v>9</v>
      </c>
      <c r="R5" t="s">
        <v>10</v>
      </c>
    </row>
    <row r="6" spans="12:18">
      <c r="L6">
        <v>5</v>
      </c>
      <c r="M6" t="s">
        <v>7</v>
      </c>
      <c r="N6">
        <v>4</v>
      </c>
      <c r="O6" t="s">
        <v>18</v>
      </c>
      <c r="P6">
        <v>10800</v>
      </c>
      <c r="Q6" t="s">
        <v>15</v>
      </c>
      <c r="R6" t="s">
        <v>10</v>
      </c>
    </row>
    <row r="7" spans="12:18">
      <c r="L7">
        <v>6</v>
      </c>
      <c r="M7" t="s">
        <v>19</v>
      </c>
      <c r="N7">
        <v>10</v>
      </c>
      <c r="O7" t="s">
        <v>8</v>
      </c>
      <c r="P7">
        <v>22500</v>
      </c>
      <c r="Q7" t="s">
        <v>13</v>
      </c>
      <c r="R7" t="s">
        <v>10</v>
      </c>
    </row>
    <row r="8" spans="12:18">
      <c r="L8">
        <v>7</v>
      </c>
      <c r="M8" t="s">
        <v>11</v>
      </c>
      <c r="N8">
        <v>6</v>
      </c>
      <c r="O8" t="s">
        <v>14</v>
      </c>
      <c r="P8">
        <v>14100</v>
      </c>
      <c r="Q8" t="s">
        <v>13</v>
      </c>
      <c r="R8" t="s">
        <v>10</v>
      </c>
    </row>
    <row r="9" spans="12:18">
      <c r="L9">
        <v>8</v>
      </c>
      <c r="M9" t="s">
        <v>7</v>
      </c>
      <c r="N9">
        <v>3</v>
      </c>
      <c r="O9" t="s">
        <v>12</v>
      </c>
      <c r="P9">
        <v>9800</v>
      </c>
      <c r="Q9" t="s">
        <v>15</v>
      </c>
      <c r="R9" t="s">
        <v>16</v>
      </c>
    </row>
    <row r="10" spans="12:18">
      <c r="L10">
        <v>9</v>
      </c>
      <c r="M10" t="s">
        <v>17</v>
      </c>
      <c r="N10">
        <v>1</v>
      </c>
      <c r="O10" t="s">
        <v>12</v>
      </c>
      <c r="P10">
        <v>5900</v>
      </c>
      <c r="Q10" t="s">
        <v>9</v>
      </c>
      <c r="R10" t="s">
        <v>16</v>
      </c>
    </row>
    <row r="11" spans="12:18">
      <c r="L11">
        <v>10</v>
      </c>
      <c r="M11" t="s">
        <v>7</v>
      </c>
      <c r="N11">
        <v>5</v>
      </c>
      <c r="O11" t="s">
        <v>8</v>
      </c>
      <c r="P11">
        <v>12300</v>
      </c>
      <c r="Q11" t="s">
        <v>15</v>
      </c>
      <c r="R11" t="s">
        <v>10</v>
      </c>
    </row>
    <row r="12" spans="12:18">
      <c r="L12">
        <v>11</v>
      </c>
      <c r="M12" t="s">
        <v>19</v>
      </c>
      <c r="N12">
        <v>12</v>
      </c>
      <c r="O12" t="s">
        <v>12</v>
      </c>
      <c r="P12">
        <v>24800</v>
      </c>
      <c r="Q12" t="s">
        <v>13</v>
      </c>
      <c r="R12" t="s">
        <v>10</v>
      </c>
    </row>
    <row r="13" spans="12:18">
      <c r="L13">
        <v>12</v>
      </c>
      <c r="M13" t="s">
        <v>11</v>
      </c>
      <c r="N13">
        <v>8</v>
      </c>
      <c r="O13" t="s">
        <v>18</v>
      </c>
      <c r="P13">
        <v>16700</v>
      </c>
      <c r="Q13" t="s">
        <v>13</v>
      </c>
      <c r="R13" t="s">
        <v>10</v>
      </c>
    </row>
    <row r="14" spans="12:18">
      <c r="L14">
        <v>13</v>
      </c>
      <c r="M14" t="s">
        <v>7</v>
      </c>
      <c r="N14">
        <v>2</v>
      </c>
      <c r="O14" t="s">
        <v>14</v>
      </c>
      <c r="P14">
        <v>8200</v>
      </c>
      <c r="Q14" t="s">
        <v>9</v>
      </c>
      <c r="R14" t="s">
        <v>16</v>
      </c>
    </row>
    <row r="15" spans="12:18">
      <c r="L15">
        <v>14</v>
      </c>
      <c r="M15" t="s">
        <v>17</v>
      </c>
      <c r="N15">
        <v>1</v>
      </c>
      <c r="O15" t="s">
        <v>14</v>
      </c>
      <c r="P15">
        <v>6500</v>
      </c>
      <c r="Q15" t="s">
        <v>15</v>
      </c>
      <c r="R15" t="s">
        <v>10</v>
      </c>
    </row>
    <row r="16" spans="12:18">
      <c r="L16">
        <v>15</v>
      </c>
      <c r="M16" t="s">
        <v>7</v>
      </c>
      <c r="N16">
        <v>4</v>
      </c>
      <c r="O16" t="s">
        <v>12</v>
      </c>
      <c r="P16">
        <v>11200</v>
      </c>
      <c r="Q16" t="s">
        <v>15</v>
      </c>
      <c r="R16" t="s">
        <v>10</v>
      </c>
    </row>
    <row r="17" spans="12:18">
      <c r="L17">
        <v>16</v>
      </c>
      <c r="M17" t="s">
        <v>11</v>
      </c>
      <c r="N17">
        <v>9</v>
      </c>
      <c r="O17" t="s">
        <v>8</v>
      </c>
      <c r="P17">
        <v>17500</v>
      </c>
      <c r="Q17" t="s">
        <v>13</v>
      </c>
      <c r="R17" t="s">
        <v>10</v>
      </c>
    </row>
    <row r="18" spans="12:18">
      <c r="L18">
        <v>17</v>
      </c>
      <c r="M18" t="s">
        <v>7</v>
      </c>
      <c r="N18">
        <v>3</v>
      </c>
      <c r="O18" t="s">
        <v>18</v>
      </c>
      <c r="P18">
        <v>9500</v>
      </c>
      <c r="Q18" t="s">
        <v>9</v>
      </c>
      <c r="R18" t="s">
        <v>16</v>
      </c>
    </row>
    <row r="19" spans="12:18">
      <c r="L19">
        <v>18</v>
      </c>
      <c r="M19" t="s">
        <v>19</v>
      </c>
      <c r="N19">
        <v>11</v>
      </c>
      <c r="O19" t="s">
        <v>14</v>
      </c>
      <c r="P19">
        <v>23200</v>
      </c>
      <c r="Q19" t="s">
        <v>13</v>
      </c>
      <c r="R19" t="s">
        <v>10</v>
      </c>
    </row>
    <row r="20" spans="12:18">
      <c r="L20">
        <v>19</v>
      </c>
      <c r="M20" t="s">
        <v>7</v>
      </c>
      <c r="N20">
        <v>2</v>
      </c>
      <c r="O20" t="s">
        <v>12</v>
      </c>
      <c r="P20">
        <v>8800</v>
      </c>
      <c r="Q20" t="s">
        <v>15</v>
      </c>
      <c r="R20" t="s">
        <v>10</v>
      </c>
    </row>
    <row r="21" spans="12:18">
      <c r="L21">
        <v>20</v>
      </c>
      <c r="M21" t="s">
        <v>17</v>
      </c>
      <c r="N21" t="s">
        <v>20</v>
      </c>
      <c r="O21" s="3" t="s">
        <v>18</v>
      </c>
      <c r="P21">
        <v>5500</v>
      </c>
      <c r="Q21" t="s">
        <v>9</v>
      </c>
      <c r="R21" t="s">
        <v>16</v>
      </c>
    </row>
    <row r="22" spans="12:18">
      <c r="L22">
        <v>21</v>
      </c>
      <c r="M22" t="s">
        <v>11</v>
      </c>
      <c r="N22">
        <v>7</v>
      </c>
      <c r="O22" t="s">
        <v>12</v>
      </c>
      <c r="P22">
        <v>15800</v>
      </c>
      <c r="Q22" t="s">
        <v>13</v>
      </c>
      <c r="R22" t="s">
        <v>10</v>
      </c>
    </row>
    <row r="23" spans="12:18">
      <c r="L23">
        <v>22</v>
      </c>
      <c r="M23" t="s">
        <v>7</v>
      </c>
      <c r="N23">
        <v>5</v>
      </c>
      <c r="O23" t="s">
        <v>14</v>
      </c>
      <c r="P23">
        <v>12700</v>
      </c>
      <c r="Q23" t="s">
        <v>15</v>
      </c>
      <c r="R23" t="s">
        <v>10</v>
      </c>
    </row>
    <row r="24" spans="12:18">
      <c r="L24">
        <v>23</v>
      </c>
      <c r="M24" t="s">
        <v>7</v>
      </c>
      <c r="N24">
        <v>3</v>
      </c>
      <c r="O24" t="s">
        <v>8</v>
      </c>
      <c r="P24">
        <v>9600</v>
      </c>
      <c r="Q24" t="s">
        <v>15</v>
      </c>
      <c r="R24" t="s">
        <v>16</v>
      </c>
    </row>
    <row r="25" spans="12:18">
      <c r="L25">
        <v>24</v>
      </c>
      <c r="M25" t="s">
        <v>19</v>
      </c>
      <c r="N25">
        <v>13</v>
      </c>
      <c r="O25" t="s">
        <v>18</v>
      </c>
      <c r="P25">
        <v>25500</v>
      </c>
      <c r="Q25" t="s">
        <v>13</v>
      </c>
      <c r="R25" t="s">
        <v>10</v>
      </c>
    </row>
    <row r="26" spans="12:18">
      <c r="L26">
        <v>25</v>
      </c>
      <c r="M26" t="s">
        <v>17</v>
      </c>
      <c r="N26">
        <v>1</v>
      </c>
      <c r="O26" t="s">
        <v>12</v>
      </c>
      <c r="P26">
        <v>6100</v>
      </c>
      <c r="Q26" t="s">
        <v>9</v>
      </c>
      <c r="R26" t="s">
        <v>16</v>
      </c>
    </row>
    <row r="27" spans="12:18">
      <c r="L27">
        <v>26</v>
      </c>
      <c r="M27" t="s">
        <v>11</v>
      </c>
      <c r="N27">
        <v>8</v>
      </c>
      <c r="O27" t="s">
        <v>14</v>
      </c>
      <c r="P27">
        <v>16200</v>
      </c>
      <c r="Q27" t="s">
        <v>13</v>
      </c>
      <c r="R27" t="s">
        <v>10</v>
      </c>
    </row>
    <row r="28" spans="12:18">
      <c r="L28">
        <v>27</v>
      </c>
      <c r="M28" t="s">
        <v>7</v>
      </c>
      <c r="N28">
        <v>4</v>
      </c>
      <c r="O28" t="s">
        <v>8</v>
      </c>
      <c r="P28">
        <v>10500</v>
      </c>
      <c r="Q28" t="s">
        <v>15</v>
      </c>
      <c r="R28" t="s">
        <v>10</v>
      </c>
    </row>
    <row r="29" spans="12:18">
      <c r="L29">
        <v>28</v>
      </c>
      <c r="M29" t="s">
        <v>7</v>
      </c>
      <c r="N29">
        <v>2</v>
      </c>
      <c r="O29" t="s">
        <v>18</v>
      </c>
      <c r="P29">
        <v>8400</v>
      </c>
      <c r="Q29" t="s">
        <v>9</v>
      </c>
      <c r="R29" t="s">
        <v>16</v>
      </c>
    </row>
    <row r="30" spans="12:18">
      <c r="L30">
        <v>29</v>
      </c>
      <c r="M30" t="s">
        <v>11</v>
      </c>
      <c r="N30">
        <v>6</v>
      </c>
      <c r="O30" t="s">
        <v>12</v>
      </c>
      <c r="P30">
        <v>14500</v>
      </c>
      <c r="Q30" t="s">
        <v>13</v>
      </c>
      <c r="R30" t="s">
        <v>10</v>
      </c>
    </row>
    <row r="31" spans="12:18">
      <c r="L31">
        <v>30</v>
      </c>
      <c r="M31" t="s">
        <v>7</v>
      </c>
      <c r="N31">
        <v>3</v>
      </c>
      <c r="O31" t="s">
        <v>14</v>
      </c>
      <c r="P31">
        <v>9300</v>
      </c>
      <c r="Q31" t="s">
        <v>15</v>
      </c>
      <c r="R31" t="s">
        <v>10</v>
      </c>
    </row>
    <row r="32" spans="12:18">
      <c r="L32">
        <v>31</v>
      </c>
      <c r="M32" t="s">
        <v>19</v>
      </c>
      <c r="N32">
        <v>10</v>
      </c>
      <c r="O32" t="s">
        <v>8</v>
      </c>
      <c r="P32" t="s">
        <v>21</v>
      </c>
      <c r="Q32" t="s">
        <v>13</v>
      </c>
      <c r="R32" t="s">
        <v>10</v>
      </c>
    </row>
    <row r="33" spans="12:18">
      <c r="L33">
        <v>31</v>
      </c>
      <c r="M33" t="s">
        <v>19</v>
      </c>
      <c r="N33">
        <v>10</v>
      </c>
      <c r="O33" t="s">
        <v>8</v>
      </c>
      <c r="P33">
        <v>22100</v>
      </c>
      <c r="Q33" t="s">
        <v>13</v>
      </c>
      <c r="R33" t="s">
        <v>10</v>
      </c>
    </row>
    <row r="34" spans="12:18">
      <c r="L34">
        <v>32</v>
      </c>
      <c r="M34" t="s">
        <v>17</v>
      </c>
      <c r="N34">
        <v>1</v>
      </c>
      <c r="O34" t="s">
        <v>14</v>
      </c>
      <c r="P34">
        <v>6400</v>
      </c>
      <c r="Q34" t="s">
        <v>9</v>
      </c>
      <c r="R34" t="s">
        <v>10</v>
      </c>
    </row>
    <row r="35" spans="12:18">
      <c r="L35">
        <v>33</v>
      </c>
      <c r="M35" t="s">
        <v>7</v>
      </c>
      <c r="N35">
        <v>5</v>
      </c>
      <c r="O35" t="s">
        <v>12</v>
      </c>
      <c r="P35">
        <v>11800</v>
      </c>
      <c r="Q35" t="s">
        <v>15</v>
      </c>
      <c r="R35" t="s">
        <v>10</v>
      </c>
    </row>
    <row r="36" spans="12:18">
      <c r="L36">
        <v>34</v>
      </c>
      <c r="M36" t="s">
        <v>11</v>
      </c>
      <c r="N36">
        <v>9</v>
      </c>
      <c r="O36" t="s">
        <v>18</v>
      </c>
      <c r="P36">
        <v>17200</v>
      </c>
      <c r="Q36" t="s">
        <v>13</v>
      </c>
      <c r="R36" t="s">
        <v>10</v>
      </c>
    </row>
    <row r="37" spans="12:18">
      <c r="L37">
        <v>35</v>
      </c>
      <c r="M37" t="s">
        <v>7</v>
      </c>
      <c r="N37">
        <v>2</v>
      </c>
      <c r="O37" t="s">
        <v>8</v>
      </c>
      <c r="P37">
        <v>8600</v>
      </c>
      <c r="Q37" t="s">
        <v>9</v>
      </c>
      <c r="R37" t="s">
        <v>16</v>
      </c>
    </row>
    <row r="38" spans="12:18">
      <c r="L38">
        <v>35</v>
      </c>
      <c r="M38" t="s">
        <v>7</v>
      </c>
      <c r="N38">
        <v>2</v>
      </c>
      <c r="O38" t="s">
        <v>8</v>
      </c>
      <c r="P38">
        <v>8600</v>
      </c>
      <c r="Q38" t="s">
        <v>9</v>
      </c>
      <c r="R38" t="s">
        <v>16</v>
      </c>
    </row>
    <row r="39" spans="12:18">
      <c r="L39">
        <v>36</v>
      </c>
      <c r="M39" t="s">
        <v>7</v>
      </c>
      <c r="N39">
        <v>4</v>
      </c>
      <c r="O39" t="s">
        <v>14</v>
      </c>
      <c r="P39">
        <v>10200</v>
      </c>
      <c r="Q39" t="s">
        <v>15</v>
      </c>
      <c r="R39" t="s">
        <v>10</v>
      </c>
    </row>
    <row r="40" spans="12:18">
      <c r="L40">
        <v>37</v>
      </c>
      <c r="M40" t="s">
        <v>17</v>
      </c>
      <c r="N40">
        <v>1</v>
      </c>
      <c r="O40" t="s">
        <v>12</v>
      </c>
      <c r="P40">
        <v>5800</v>
      </c>
      <c r="Q40" t="s">
        <v>9</v>
      </c>
      <c r="R40" t="s">
        <v>16</v>
      </c>
    </row>
    <row r="41" spans="12:18">
      <c r="L41">
        <v>38</v>
      </c>
      <c r="M41" t="s">
        <v>19</v>
      </c>
      <c r="N41">
        <v>11</v>
      </c>
      <c r="O41" t="s">
        <v>14</v>
      </c>
      <c r="P41">
        <v>23800</v>
      </c>
      <c r="Q41" t="s">
        <v>13</v>
      </c>
      <c r="R41" t="s">
        <v>10</v>
      </c>
    </row>
    <row r="42" spans="12:18">
      <c r="L42">
        <v>39</v>
      </c>
      <c r="M42" t="s">
        <v>7</v>
      </c>
      <c r="N42">
        <v>3</v>
      </c>
      <c r="O42" t="s">
        <v>18</v>
      </c>
      <c r="P42">
        <v>9700</v>
      </c>
      <c r="Q42" t="s">
        <v>15</v>
      </c>
      <c r="R42" t="s">
        <v>16</v>
      </c>
    </row>
    <row r="43" spans="12:18">
      <c r="L43">
        <v>40</v>
      </c>
      <c r="M43" t="s">
        <v>11</v>
      </c>
      <c r="N43">
        <v>7</v>
      </c>
      <c r="O43" t="s">
        <v>8</v>
      </c>
      <c r="P43">
        <v>15500</v>
      </c>
      <c r="Q43" t="s">
        <v>13</v>
      </c>
      <c r="R43" t="s">
        <v>10</v>
      </c>
    </row>
    <row r="44" spans="12:18">
      <c r="L44">
        <v>41</v>
      </c>
      <c r="M44" t="s">
        <v>7</v>
      </c>
      <c r="N44">
        <v>5</v>
      </c>
      <c r="O44" t="s">
        <v>12</v>
      </c>
      <c r="P44">
        <v>12100</v>
      </c>
      <c r="Q44" t="s">
        <v>15</v>
      </c>
      <c r="R44" t="s">
        <v>10</v>
      </c>
    </row>
    <row r="45" spans="12:18">
      <c r="L45">
        <v>42</v>
      </c>
      <c r="M45" t="s">
        <v>7</v>
      </c>
      <c r="N45">
        <v>2</v>
      </c>
      <c r="O45" t="s">
        <v>14</v>
      </c>
      <c r="P45">
        <v>8300</v>
      </c>
      <c r="Q45" t="s">
        <v>9</v>
      </c>
      <c r="R45" t="s">
        <v>16</v>
      </c>
    </row>
    <row r="46" spans="12:18">
      <c r="L46">
        <v>43</v>
      </c>
      <c r="M46" t="s">
        <v>17</v>
      </c>
      <c r="N46" t="s">
        <v>20</v>
      </c>
      <c r="O46" s="3" t="s">
        <v>18</v>
      </c>
      <c r="P46">
        <v>5600</v>
      </c>
      <c r="Q46" t="s">
        <v>9</v>
      </c>
      <c r="R46" t="s">
        <v>10</v>
      </c>
    </row>
    <row r="47" spans="12:18">
      <c r="L47">
        <v>43</v>
      </c>
      <c r="M47" t="s">
        <v>17</v>
      </c>
      <c r="N47" t="s">
        <v>20</v>
      </c>
      <c r="O47" s="3" t="s">
        <v>18</v>
      </c>
      <c r="P47">
        <v>5600</v>
      </c>
      <c r="Q47" t="s">
        <v>9</v>
      </c>
      <c r="R47" t="s">
        <v>10</v>
      </c>
    </row>
    <row r="48" spans="12:18">
      <c r="L48">
        <v>44</v>
      </c>
      <c r="M48" t="s">
        <v>11</v>
      </c>
      <c r="N48">
        <v>8</v>
      </c>
      <c r="O48" t="s">
        <v>18</v>
      </c>
      <c r="P48">
        <v>16500</v>
      </c>
      <c r="Q48" t="s">
        <v>13</v>
      </c>
      <c r="R48" t="s">
        <v>10</v>
      </c>
    </row>
    <row r="49" spans="12:18">
      <c r="L49">
        <v>45</v>
      </c>
      <c r="M49" t="s">
        <v>7</v>
      </c>
      <c r="N49">
        <v>4</v>
      </c>
      <c r="O49" t="s">
        <v>12</v>
      </c>
      <c r="P49">
        <v>10900</v>
      </c>
      <c r="Q49" t="s">
        <v>15</v>
      </c>
      <c r="R49" t="s">
        <v>10</v>
      </c>
    </row>
    <row r="50" spans="12:18">
      <c r="L50">
        <v>46</v>
      </c>
      <c r="M50" t="s">
        <v>19</v>
      </c>
      <c r="N50">
        <v>12</v>
      </c>
      <c r="O50" t="s">
        <v>12</v>
      </c>
      <c r="P50">
        <v>24500</v>
      </c>
      <c r="Q50" t="s">
        <v>13</v>
      </c>
      <c r="R50" t="s">
        <v>10</v>
      </c>
    </row>
    <row r="51" spans="12:18">
      <c r="L51">
        <v>47</v>
      </c>
      <c r="M51" t="s">
        <v>7</v>
      </c>
      <c r="N51">
        <v>3</v>
      </c>
      <c r="O51" t="s">
        <v>8</v>
      </c>
      <c r="P51">
        <v>9400</v>
      </c>
      <c r="Q51" t="s">
        <v>15</v>
      </c>
      <c r="R51" t="s">
        <v>16</v>
      </c>
    </row>
    <row r="52" spans="12:18">
      <c r="L52">
        <v>48</v>
      </c>
      <c r="M52" t="s">
        <v>7</v>
      </c>
      <c r="N52">
        <v>2</v>
      </c>
      <c r="O52" t="s">
        <v>18</v>
      </c>
      <c r="P52">
        <v>8700</v>
      </c>
      <c r="Q52" t="s">
        <v>9</v>
      </c>
      <c r="R52" t="s">
        <v>16</v>
      </c>
    </row>
    <row r="53" spans="12:18">
      <c r="L53">
        <v>49</v>
      </c>
      <c r="M53" t="s">
        <v>11</v>
      </c>
      <c r="N53">
        <v>6</v>
      </c>
      <c r="O53" t="s">
        <v>14</v>
      </c>
      <c r="P53">
        <v>14300</v>
      </c>
      <c r="Q53" t="s">
        <v>13</v>
      </c>
      <c r="R53" t="s">
        <v>10</v>
      </c>
    </row>
    <row r="54" spans="12:18">
      <c r="L54">
        <v>50</v>
      </c>
      <c r="M54" t="s">
        <v>7</v>
      </c>
      <c r="N54">
        <v>5</v>
      </c>
      <c r="O54" t="s">
        <v>8</v>
      </c>
      <c r="P54">
        <v>12500</v>
      </c>
      <c r="Q54" t="s">
        <v>15</v>
      </c>
      <c r="R54" t="s">
        <v>10</v>
      </c>
    </row>
    <row r="55" spans="12:18">
      <c r="L55">
        <v>51</v>
      </c>
      <c r="M55" t="s">
        <v>17</v>
      </c>
      <c r="N55">
        <v>1</v>
      </c>
      <c r="O55" t="s">
        <v>18</v>
      </c>
      <c r="P55">
        <v>6000</v>
      </c>
      <c r="Q55" t="s">
        <v>9</v>
      </c>
      <c r="R55" t="s">
        <v>16</v>
      </c>
    </row>
    <row r="56" spans="12:18">
      <c r="L56">
        <v>52</v>
      </c>
      <c r="M56" t="s">
        <v>7</v>
      </c>
      <c r="N56">
        <v>3</v>
      </c>
      <c r="O56" t="s">
        <v>12</v>
      </c>
      <c r="P56">
        <v>9700</v>
      </c>
      <c r="Q56" t="s">
        <v>15</v>
      </c>
      <c r="R56" t="s">
        <v>10</v>
      </c>
    </row>
    <row r="57" spans="12:18">
      <c r="L57">
        <v>53</v>
      </c>
      <c r="M57" t="s">
        <v>11</v>
      </c>
      <c r="N57">
        <v>7</v>
      </c>
      <c r="O57" t="s">
        <v>8</v>
      </c>
      <c r="P57">
        <v>16000</v>
      </c>
      <c r="Q57" t="s">
        <v>13</v>
      </c>
      <c r="R57" t="s">
        <v>10</v>
      </c>
    </row>
    <row r="58" spans="12:18">
      <c r="L58">
        <v>54</v>
      </c>
      <c r="M58" t="s">
        <v>7</v>
      </c>
      <c r="N58">
        <v>4</v>
      </c>
      <c r="O58" t="s">
        <v>14</v>
      </c>
      <c r="P58">
        <v>10400</v>
      </c>
      <c r="Q58" t="s">
        <v>15</v>
      </c>
      <c r="R58" t="s">
        <v>10</v>
      </c>
    </row>
    <row r="59" spans="12:18">
      <c r="L59">
        <v>55</v>
      </c>
      <c r="M59" t="s">
        <v>19</v>
      </c>
      <c r="N59">
        <v>11</v>
      </c>
      <c r="O59" t="s">
        <v>8</v>
      </c>
      <c r="P59">
        <v>23500</v>
      </c>
      <c r="Q59" t="s">
        <v>13</v>
      </c>
      <c r="R59" t="s">
        <v>10</v>
      </c>
    </row>
    <row r="60" spans="12:18">
      <c r="L60">
        <v>56</v>
      </c>
      <c r="M60" t="s">
        <v>7</v>
      </c>
      <c r="N60">
        <v>2</v>
      </c>
      <c r="O60" t="s">
        <v>12</v>
      </c>
      <c r="P60">
        <v>8900</v>
      </c>
      <c r="Q60" t="s">
        <v>9</v>
      </c>
      <c r="R60" t="s">
        <v>16</v>
      </c>
    </row>
    <row r="61" spans="12:18">
      <c r="L61">
        <v>57</v>
      </c>
      <c r="M61" t="s">
        <v>17</v>
      </c>
      <c r="N61">
        <v>1</v>
      </c>
      <c r="O61" t="s">
        <v>14</v>
      </c>
      <c r="P61">
        <v>6300</v>
      </c>
      <c r="Q61" t="s">
        <v>9</v>
      </c>
      <c r="R61" t="s">
        <v>10</v>
      </c>
    </row>
    <row r="62" spans="12:18">
      <c r="L62">
        <v>58</v>
      </c>
      <c r="M62" t="s">
        <v>11</v>
      </c>
      <c r="N62">
        <v>8</v>
      </c>
      <c r="O62" t="s">
        <v>12</v>
      </c>
      <c r="P62">
        <v>16800</v>
      </c>
      <c r="Q62" t="s">
        <v>13</v>
      </c>
      <c r="R62" t="s">
        <v>10</v>
      </c>
    </row>
    <row r="63" spans="12:18">
      <c r="L63">
        <v>59</v>
      </c>
      <c r="M63" t="s">
        <v>7</v>
      </c>
      <c r="N63">
        <v>5</v>
      </c>
      <c r="O63" t="s">
        <v>18</v>
      </c>
      <c r="P63">
        <v>12000</v>
      </c>
      <c r="Q63" t="s">
        <v>15</v>
      </c>
      <c r="R63" t="s">
        <v>10</v>
      </c>
    </row>
    <row r="64" spans="12:18">
      <c r="L64">
        <v>60</v>
      </c>
      <c r="M64" t="s">
        <v>19</v>
      </c>
      <c r="N64">
        <v>13</v>
      </c>
      <c r="O64" t="s">
        <v>14</v>
      </c>
      <c r="P64">
        <v>25800</v>
      </c>
      <c r="Q64" t="s">
        <v>13</v>
      </c>
      <c r="R64" t="s">
        <v>10</v>
      </c>
    </row>
    <row r="65" spans="12:18">
      <c r="L65">
        <v>61</v>
      </c>
      <c r="M65" t="s">
        <v>7</v>
      </c>
      <c r="N65">
        <v>3</v>
      </c>
      <c r="O65" t="s">
        <v>8</v>
      </c>
      <c r="P65">
        <v>9500</v>
      </c>
      <c r="Q65" t="s">
        <v>15</v>
      </c>
      <c r="R65" t="s">
        <v>10</v>
      </c>
    </row>
    <row r="66" spans="12:18">
      <c r="L66">
        <v>62</v>
      </c>
      <c r="M66" t="s">
        <v>11</v>
      </c>
      <c r="N66">
        <v>6</v>
      </c>
      <c r="O66" t="s">
        <v>12</v>
      </c>
      <c r="P66">
        <v>14800</v>
      </c>
      <c r="Q66" t="s">
        <v>13</v>
      </c>
      <c r="R66" t="s">
        <v>10</v>
      </c>
    </row>
    <row r="67" spans="12:18">
      <c r="L67">
        <v>63</v>
      </c>
      <c r="M67" t="s">
        <v>7</v>
      </c>
      <c r="N67">
        <v>4</v>
      </c>
      <c r="O67" t="s">
        <v>14</v>
      </c>
      <c r="P67">
        <v>11000</v>
      </c>
      <c r="Q67" t="s">
        <v>15</v>
      </c>
      <c r="R67" t="s">
        <v>10</v>
      </c>
    </row>
    <row r="68" spans="12:18">
      <c r="L68">
        <v>64</v>
      </c>
      <c r="M68" t="s">
        <v>17</v>
      </c>
      <c r="N68">
        <v>1</v>
      </c>
      <c r="O68" t="s">
        <v>12</v>
      </c>
      <c r="P68">
        <v>6000</v>
      </c>
      <c r="Q68" t="s">
        <v>9</v>
      </c>
      <c r="R68" t="s">
        <v>16</v>
      </c>
    </row>
    <row r="69" spans="12:18">
      <c r="L69">
        <v>64</v>
      </c>
      <c r="M69" t="s">
        <v>17</v>
      </c>
      <c r="N69">
        <v>1</v>
      </c>
      <c r="O69" t="s">
        <v>12</v>
      </c>
      <c r="P69">
        <v>6000</v>
      </c>
      <c r="Q69" t="s">
        <v>9</v>
      </c>
      <c r="R69" t="s">
        <v>16</v>
      </c>
    </row>
    <row r="70" spans="12:18">
      <c r="L70">
        <v>65</v>
      </c>
      <c r="M70" t="s">
        <v>19</v>
      </c>
      <c r="N70">
        <v>12</v>
      </c>
      <c r="O70" t="s">
        <v>18</v>
      </c>
      <c r="P70">
        <v>24200</v>
      </c>
      <c r="Q70" t="s">
        <v>13</v>
      </c>
      <c r="R70" t="s">
        <v>10</v>
      </c>
    </row>
    <row r="71" spans="12:18">
      <c r="L71">
        <v>66</v>
      </c>
      <c r="M71" t="s">
        <v>7</v>
      </c>
      <c r="N71">
        <v>2</v>
      </c>
      <c r="O71" t="s">
        <v>8</v>
      </c>
      <c r="P71">
        <v>8800</v>
      </c>
      <c r="Q71" t="s">
        <v>9</v>
      </c>
      <c r="R71" t="s">
        <v>16</v>
      </c>
    </row>
    <row r="72" spans="12:18">
      <c r="L72">
        <v>67</v>
      </c>
      <c r="M72" t="s">
        <v>11</v>
      </c>
      <c r="N72">
        <v>9</v>
      </c>
      <c r="O72" t="s">
        <v>14</v>
      </c>
      <c r="P72">
        <v>17000</v>
      </c>
      <c r="Q72" t="s">
        <v>13</v>
      </c>
      <c r="R72" t="s">
        <v>10</v>
      </c>
    </row>
    <row r="73" spans="12:18">
      <c r="L73">
        <v>68</v>
      </c>
      <c r="M73" t="s">
        <v>7</v>
      </c>
      <c r="N73">
        <v>5</v>
      </c>
      <c r="O73" t="s">
        <v>12</v>
      </c>
      <c r="P73">
        <v>11900</v>
      </c>
      <c r="Q73" t="s">
        <v>15</v>
      </c>
      <c r="R73" t="s">
        <v>10</v>
      </c>
    </row>
    <row r="74" spans="12:18">
      <c r="L74">
        <v>69</v>
      </c>
      <c r="M74" t="s">
        <v>17</v>
      </c>
      <c r="N74">
        <v>1</v>
      </c>
      <c r="O74" t="s">
        <v>14</v>
      </c>
      <c r="P74">
        <v>6500</v>
      </c>
      <c r="Q74" t="s">
        <v>9</v>
      </c>
      <c r="R74" t="s">
        <v>10</v>
      </c>
    </row>
    <row r="75" spans="12:18">
      <c r="L75">
        <v>70</v>
      </c>
      <c r="M75" t="s">
        <v>19</v>
      </c>
      <c r="N75">
        <v>14</v>
      </c>
      <c r="O75" t="s">
        <v>12</v>
      </c>
      <c r="P75">
        <v>26800</v>
      </c>
      <c r="Q75" t="s">
        <v>13</v>
      </c>
      <c r="R75" t="s">
        <v>10</v>
      </c>
    </row>
    <row r="76" spans="12:18">
      <c r="L76">
        <v>71</v>
      </c>
      <c r="M76" t="s">
        <v>7</v>
      </c>
      <c r="N76">
        <v>3</v>
      </c>
      <c r="O76" t="s">
        <v>18</v>
      </c>
      <c r="P76">
        <v>9800</v>
      </c>
      <c r="Q76" t="s">
        <v>15</v>
      </c>
      <c r="R76" t="s">
        <v>16</v>
      </c>
    </row>
    <row r="77" spans="12:18">
      <c r="L77">
        <v>72</v>
      </c>
      <c r="M77" t="s">
        <v>11</v>
      </c>
      <c r="N77">
        <v>7</v>
      </c>
      <c r="O77" t="s">
        <v>8</v>
      </c>
      <c r="P77">
        <v>15900</v>
      </c>
      <c r="Q77" t="s">
        <v>13</v>
      </c>
      <c r="R77" t="s">
        <v>10</v>
      </c>
    </row>
    <row r="78" spans="12:18">
      <c r="L78">
        <v>73</v>
      </c>
      <c r="M78" t="s">
        <v>7</v>
      </c>
      <c r="N78">
        <v>4</v>
      </c>
      <c r="O78" t="s">
        <v>14</v>
      </c>
      <c r="P78">
        <v>10700</v>
      </c>
      <c r="Q78" t="s">
        <v>15</v>
      </c>
      <c r="R78" t="s">
        <v>10</v>
      </c>
    </row>
    <row r="79" spans="12:18">
      <c r="L79">
        <v>74</v>
      </c>
      <c r="M79" t="s">
        <v>17</v>
      </c>
      <c r="N79" t="s">
        <v>20</v>
      </c>
      <c r="O79" t="s">
        <v>12</v>
      </c>
      <c r="P79">
        <v>5600</v>
      </c>
      <c r="Q79" t="s">
        <v>9</v>
      </c>
      <c r="R79" t="s">
        <v>16</v>
      </c>
    </row>
    <row r="80" spans="12:18">
      <c r="L80">
        <v>75</v>
      </c>
      <c r="M80" t="s">
        <v>19</v>
      </c>
      <c r="N80">
        <v>11</v>
      </c>
      <c r="O80" t="s">
        <v>8</v>
      </c>
      <c r="P80">
        <v>23300</v>
      </c>
      <c r="Q80" t="s">
        <v>13</v>
      </c>
      <c r="R80" t="s">
        <v>10</v>
      </c>
    </row>
    <row r="81" spans="12:18">
      <c r="L81">
        <v>76</v>
      </c>
      <c r="M81" t="s">
        <v>7</v>
      </c>
      <c r="N81">
        <v>2</v>
      </c>
      <c r="O81" t="s">
        <v>14</v>
      </c>
      <c r="P81">
        <v>8600</v>
      </c>
      <c r="Q81" t="s">
        <v>9</v>
      </c>
      <c r="R81" t="s">
        <v>16</v>
      </c>
    </row>
    <row r="82" spans="12:18">
      <c r="L82">
        <v>77</v>
      </c>
      <c r="M82" t="s">
        <v>11</v>
      </c>
      <c r="N82">
        <v>8</v>
      </c>
      <c r="O82" t="s">
        <v>18</v>
      </c>
      <c r="P82">
        <v>16900</v>
      </c>
      <c r="Q82" t="s">
        <v>13</v>
      </c>
      <c r="R82" t="s">
        <v>10</v>
      </c>
    </row>
    <row r="83" spans="12:18">
      <c r="L83">
        <v>78</v>
      </c>
      <c r="M83" t="s">
        <v>7</v>
      </c>
      <c r="N83">
        <v>5</v>
      </c>
      <c r="O83" t="s">
        <v>12</v>
      </c>
      <c r="P83">
        <v>12200</v>
      </c>
      <c r="Q83" t="s">
        <v>15</v>
      </c>
      <c r="R83" t="s">
        <v>10</v>
      </c>
    </row>
    <row r="84" spans="12:18">
      <c r="L84">
        <v>79</v>
      </c>
      <c r="M84" t="s">
        <v>17</v>
      </c>
      <c r="N84">
        <v>1</v>
      </c>
      <c r="O84" t="s">
        <v>8</v>
      </c>
      <c r="P84">
        <v>6100</v>
      </c>
      <c r="Q84" t="s">
        <v>9</v>
      </c>
      <c r="R84" t="s">
        <v>10</v>
      </c>
    </row>
    <row r="85" spans="12:18">
      <c r="L85">
        <v>80</v>
      </c>
      <c r="M85" t="s">
        <v>19</v>
      </c>
      <c r="N85">
        <v>13</v>
      </c>
      <c r="O85" t="s">
        <v>14</v>
      </c>
      <c r="P85">
        <v>25700</v>
      </c>
      <c r="Q85" t="s">
        <v>13</v>
      </c>
      <c r="R85" t="s">
        <v>10</v>
      </c>
    </row>
    <row r="86" spans="12:18">
      <c r="L86">
        <v>81</v>
      </c>
      <c r="M86" t="s">
        <v>7</v>
      </c>
      <c r="N86">
        <v>3</v>
      </c>
      <c r="O86" t="s">
        <v>12</v>
      </c>
      <c r="P86">
        <v>9400</v>
      </c>
      <c r="Q86" t="s">
        <v>15</v>
      </c>
      <c r="R86" t="s">
        <v>16</v>
      </c>
    </row>
    <row r="87" spans="12:18">
      <c r="L87">
        <v>82</v>
      </c>
      <c r="M87" t="s">
        <v>11</v>
      </c>
      <c r="N87">
        <v>6</v>
      </c>
      <c r="O87" t="s">
        <v>8</v>
      </c>
      <c r="P87">
        <v>15000</v>
      </c>
      <c r="Q87" t="s">
        <v>13</v>
      </c>
      <c r="R87" t="s">
        <v>10</v>
      </c>
    </row>
    <row r="88" spans="12:18">
      <c r="L88">
        <v>83</v>
      </c>
      <c r="M88" t="s">
        <v>7</v>
      </c>
      <c r="N88">
        <v>4</v>
      </c>
      <c r="O88" t="s">
        <v>18</v>
      </c>
      <c r="P88">
        <v>10800</v>
      </c>
      <c r="Q88" t="s">
        <v>15</v>
      </c>
      <c r="R88" t="s">
        <v>10</v>
      </c>
    </row>
    <row r="89" spans="12:18">
      <c r="L89">
        <v>84</v>
      </c>
      <c r="M89" t="s">
        <v>17</v>
      </c>
      <c r="N89">
        <v>1</v>
      </c>
      <c r="O89" t="s">
        <v>14</v>
      </c>
      <c r="P89">
        <v>6400</v>
      </c>
      <c r="Q89" t="s">
        <v>9</v>
      </c>
      <c r="R89" t="s">
        <v>10</v>
      </c>
    </row>
    <row r="90" spans="12:18">
      <c r="L90">
        <v>85</v>
      </c>
      <c r="M90" t="s">
        <v>19</v>
      </c>
      <c r="N90">
        <v>12</v>
      </c>
      <c r="O90" t="s">
        <v>12</v>
      </c>
      <c r="P90">
        <v>24600</v>
      </c>
      <c r="Q90" t="s">
        <v>13</v>
      </c>
      <c r="R90" t="s">
        <v>10</v>
      </c>
    </row>
    <row r="91" spans="12:18">
      <c r="L91">
        <v>86</v>
      </c>
      <c r="M91" t="s">
        <v>7</v>
      </c>
      <c r="N91">
        <v>2</v>
      </c>
      <c r="O91" t="s">
        <v>8</v>
      </c>
      <c r="P91">
        <v>8700</v>
      </c>
      <c r="Q91" t="s">
        <v>9</v>
      </c>
      <c r="R91" t="s">
        <v>16</v>
      </c>
    </row>
    <row r="92" spans="12:18">
      <c r="L92">
        <v>87</v>
      </c>
      <c r="M92" t="s">
        <v>11</v>
      </c>
      <c r="N92">
        <v>9</v>
      </c>
      <c r="O92" t="s">
        <v>14</v>
      </c>
      <c r="P92">
        <v>17100</v>
      </c>
      <c r="Q92" t="s">
        <v>13</v>
      </c>
      <c r="R92" t="s">
        <v>10</v>
      </c>
    </row>
    <row r="93" spans="12:18">
      <c r="L93">
        <v>88</v>
      </c>
      <c r="M93" t="s">
        <v>7</v>
      </c>
      <c r="N93">
        <v>5</v>
      </c>
      <c r="O93" t="s">
        <v>12</v>
      </c>
      <c r="P93">
        <v>12300</v>
      </c>
      <c r="Q93" t="s">
        <v>15</v>
      </c>
      <c r="R93" t="s">
        <v>10</v>
      </c>
    </row>
    <row r="94" spans="12:18">
      <c r="L94">
        <v>89</v>
      </c>
      <c r="M94" t="s">
        <v>17</v>
      </c>
      <c r="N94" t="s">
        <v>20</v>
      </c>
      <c r="O94" t="s">
        <v>18</v>
      </c>
      <c r="P94">
        <v>5700</v>
      </c>
      <c r="Q94" t="s">
        <v>9</v>
      </c>
      <c r="R94" t="s">
        <v>16</v>
      </c>
    </row>
    <row r="95" spans="12:18">
      <c r="L95">
        <v>90</v>
      </c>
      <c r="M95" t="s">
        <v>19</v>
      </c>
      <c r="N95">
        <v>14</v>
      </c>
      <c r="O95" t="s">
        <v>8</v>
      </c>
      <c r="P95">
        <v>27000</v>
      </c>
      <c r="Q95" t="s">
        <v>13</v>
      </c>
      <c r="R95" t="s">
        <v>10</v>
      </c>
    </row>
    <row r="96" spans="12:18">
      <c r="L96">
        <v>90</v>
      </c>
      <c r="M96" t="s">
        <v>19</v>
      </c>
      <c r="N96">
        <v>14</v>
      </c>
      <c r="O96" t="s">
        <v>8</v>
      </c>
      <c r="P96">
        <v>27000</v>
      </c>
      <c r="Q96" t="s">
        <v>13</v>
      </c>
      <c r="R96" t="s">
        <v>10</v>
      </c>
    </row>
    <row r="97" spans="12:18">
      <c r="L97">
        <v>91</v>
      </c>
      <c r="M97" t="s">
        <v>7</v>
      </c>
      <c r="N97">
        <v>3</v>
      </c>
      <c r="O97" t="s">
        <v>14</v>
      </c>
      <c r="P97">
        <v>9600</v>
      </c>
      <c r="Q97" t="s">
        <v>15</v>
      </c>
      <c r="R97" t="s">
        <v>10</v>
      </c>
    </row>
    <row r="98" spans="12:18">
      <c r="L98">
        <v>92</v>
      </c>
      <c r="M98" t="s">
        <v>11</v>
      </c>
      <c r="N98">
        <v>7</v>
      </c>
      <c r="O98" t="s">
        <v>12</v>
      </c>
      <c r="P98">
        <v>15600</v>
      </c>
      <c r="Q98" t="s">
        <v>13</v>
      </c>
      <c r="R98" t="s">
        <v>10</v>
      </c>
    </row>
    <row r="99" spans="12:18">
      <c r="L99">
        <v>93</v>
      </c>
      <c r="M99" t="s">
        <v>7</v>
      </c>
      <c r="N99">
        <v>4</v>
      </c>
      <c r="O99" t="s">
        <v>8</v>
      </c>
      <c r="P99">
        <v>10600</v>
      </c>
      <c r="Q99" t="s">
        <v>15</v>
      </c>
      <c r="R99" t="s">
        <v>10</v>
      </c>
    </row>
    <row r="100" spans="12:18">
      <c r="L100">
        <v>94</v>
      </c>
      <c r="M100" t="s">
        <v>17</v>
      </c>
      <c r="N100">
        <v>1</v>
      </c>
      <c r="O100" t="s">
        <v>12</v>
      </c>
      <c r="P100">
        <v>6000</v>
      </c>
      <c r="Q100" t="s">
        <v>9</v>
      </c>
      <c r="R100" t="s">
        <v>16</v>
      </c>
    </row>
    <row r="101" spans="12:18">
      <c r="L101">
        <v>95</v>
      </c>
      <c r="M101" t="s">
        <v>19</v>
      </c>
      <c r="N101">
        <v>11</v>
      </c>
      <c r="O101" t="s">
        <v>18</v>
      </c>
      <c r="P101">
        <v>23900</v>
      </c>
      <c r="Q101" t="s">
        <v>13</v>
      </c>
      <c r="R101" t="s">
        <v>10</v>
      </c>
    </row>
    <row r="102" spans="12:18">
      <c r="L102">
        <v>96</v>
      </c>
      <c r="M102" t="s">
        <v>7</v>
      </c>
      <c r="N102">
        <v>2</v>
      </c>
      <c r="O102" t="s">
        <v>14</v>
      </c>
      <c r="P102">
        <v>8800</v>
      </c>
      <c r="Q102" t="s">
        <v>9</v>
      </c>
      <c r="R102" t="s">
        <v>16</v>
      </c>
    </row>
    <row r="103" spans="12:18">
      <c r="L103">
        <v>97</v>
      </c>
      <c r="M103" t="s">
        <v>11</v>
      </c>
      <c r="N103">
        <v>8</v>
      </c>
      <c r="O103" t="s">
        <v>8</v>
      </c>
      <c r="P103">
        <v>16600</v>
      </c>
      <c r="Q103" t="s">
        <v>13</v>
      </c>
      <c r="R103" t="s">
        <v>10</v>
      </c>
    </row>
    <row r="104" spans="12:18">
      <c r="L104">
        <v>98</v>
      </c>
      <c r="M104" t="s">
        <v>7</v>
      </c>
      <c r="N104">
        <v>5</v>
      </c>
      <c r="O104" t="s">
        <v>12</v>
      </c>
      <c r="P104">
        <v>12000</v>
      </c>
      <c r="Q104" t="s">
        <v>15</v>
      </c>
      <c r="R104" t="s">
        <v>10</v>
      </c>
    </row>
    <row r="105" spans="12:18">
      <c r="L105">
        <v>99</v>
      </c>
      <c r="M105" t="s">
        <v>17</v>
      </c>
      <c r="N105">
        <v>1</v>
      </c>
      <c r="O105" t="s">
        <v>14</v>
      </c>
      <c r="P105">
        <v>6500</v>
      </c>
      <c r="Q105" t="s">
        <v>9</v>
      </c>
      <c r="R105" t="s">
        <v>10</v>
      </c>
    </row>
    <row r="106" spans="12:18">
      <c r="L106">
        <v>100</v>
      </c>
      <c r="M106" t="s">
        <v>19</v>
      </c>
      <c r="N106">
        <v>15</v>
      </c>
      <c r="O106" t="s">
        <v>12</v>
      </c>
      <c r="P106">
        <v>28000</v>
      </c>
      <c r="Q106" t="s">
        <v>13</v>
      </c>
      <c r="R106" t="s">
        <v>10</v>
      </c>
    </row>
    <row r="107" spans="12:18">
      <c r="L107">
        <v>101</v>
      </c>
      <c r="M107" t="s">
        <v>7</v>
      </c>
      <c r="N107">
        <v>17</v>
      </c>
      <c r="O107" t="s">
        <v>12</v>
      </c>
      <c r="R107" t="s">
        <v>10</v>
      </c>
    </row>
    <row r="108" spans="12:18">
      <c r="L108">
        <v>102</v>
      </c>
      <c r="M108" t="s">
        <v>7</v>
      </c>
      <c r="O108" t="s">
        <v>14</v>
      </c>
      <c r="P108" t="s">
        <v>21</v>
      </c>
      <c r="Q108" t="s">
        <v>9</v>
      </c>
      <c r="R108" s="3" t="s">
        <v>21</v>
      </c>
    </row>
    <row r="109" spans="12:18">
      <c r="L109">
        <v>103</v>
      </c>
      <c r="M109" t="s">
        <v>7</v>
      </c>
      <c r="N109">
        <v>27</v>
      </c>
      <c r="O109" s="3"/>
      <c r="P109" s="3" t="s">
        <v>21</v>
      </c>
      <c r="R109" s="3" t="s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774E-1D33-4CE6-947D-FC5EEC049868}">
  <dimension ref="A1:Q104"/>
  <sheetViews>
    <sheetView zoomScaleNormal="100" workbookViewId="0">
      <selection activeCell="B5" sqref="B5"/>
    </sheetView>
  </sheetViews>
  <sheetFormatPr defaultColWidth="8.85546875" defaultRowHeight="12.75"/>
  <cols>
    <col min="1" max="9" width="14.7109375" customWidth="1"/>
    <col min="13" max="13" width="9.28515625" bestFit="1" customWidth="1"/>
  </cols>
  <sheetData>
    <row r="1" spans="1:9" ht="76.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22</v>
      </c>
      <c r="I1" s="14" t="s">
        <v>23</v>
      </c>
    </row>
    <row r="2" spans="1:9">
      <c r="A2">
        <v>1</v>
      </c>
      <c r="B2" t="s">
        <v>7</v>
      </c>
      <c r="C2">
        <v>2</v>
      </c>
      <c r="D2" t="s">
        <v>8</v>
      </c>
      <c r="E2">
        <v>8500</v>
      </c>
      <c r="F2" t="s">
        <v>9</v>
      </c>
      <c r="G2" t="s">
        <v>10</v>
      </c>
      <c r="H2" t="str">
        <f>IF(A2="", "", IF(I2=TRUE, " DUPLIKAT", IF(OR(E2="", G2=""), "BRAK DANYCH", IF(OR(C2="", D2="", F2=""), " BRAK DANYCH", " OK"))))</f>
        <v xml:space="preserve"> OK</v>
      </c>
      <c r="I2" t="b">
        <f t="shared" ref="I2:I33" si="0">COUNTIF($A$2:$A$109, A2) &gt; 1</f>
        <v>0</v>
      </c>
    </row>
    <row r="3" spans="1:9">
      <c r="A3">
        <v>2</v>
      </c>
      <c r="B3" t="s">
        <v>11</v>
      </c>
      <c r="C3">
        <v>7</v>
      </c>
      <c r="D3" t="s">
        <v>12</v>
      </c>
      <c r="E3">
        <v>15200</v>
      </c>
      <c r="F3" t="s">
        <v>13</v>
      </c>
      <c r="G3" t="s">
        <v>10</v>
      </c>
      <c r="H3" t="str">
        <f t="shared" ref="H3:H66" si="1">IF(A3="", "", IF(I3=TRUE, " DUPLIKAT", IF(OR(E3="", G3=""), "BRAK DANYCH", IF(OR(C3="", D3="", F3=""), " BRAK DANYCH", " OK"))))</f>
        <v xml:space="preserve"> OK</v>
      </c>
      <c r="I3" t="b">
        <f t="shared" si="0"/>
        <v>0</v>
      </c>
    </row>
    <row r="4" spans="1:9">
      <c r="A4">
        <v>3</v>
      </c>
      <c r="B4" t="s">
        <v>7</v>
      </c>
      <c r="C4">
        <v>3</v>
      </c>
      <c r="D4" t="s">
        <v>14</v>
      </c>
      <c r="E4">
        <v>9200</v>
      </c>
      <c r="F4" t="s">
        <v>15</v>
      </c>
      <c r="G4" t="s">
        <v>16</v>
      </c>
      <c r="H4" t="str">
        <f t="shared" si="1"/>
        <v xml:space="preserve"> OK</v>
      </c>
      <c r="I4" t="b">
        <f t="shared" si="0"/>
        <v>0</v>
      </c>
    </row>
    <row r="5" spans="1:9">
      <c r="A5">
        <v>4</v>
      </c>
      <c r="B5" t="s">
        <v>17</v>
      </c>
      <c r="C5">
        <v>1</v>
      </c>
      <c r="D5" t="s">
        <v>8</v>
      </c>
      <c r="E5">
        <v>6200</v>
      </c>
      <c r="F5" t="s">
        <v>9</v>
      </c>
      <c r="G5" t="s">
        <v>10</v>
      </c>
      <c r="H5" t="str">
        <f t="shared" si="1"/>
        <v xml:space="preserve"> OK</v>
      </c>
      <c r="I5" t="b">
        <f t="shared" si="0"/>
        <v>0</v>
      </c>
    </row>
    <row r="6" spans="1:9">
      <c r="A6">
        <v>5</v>
      </c>
      <c r="B6" t="s">
        <v>7</v>
      </c>
      <c r="C6">
        <v>4</v>
      </c>
      <c r="D6" t="s">
        <v>18</v>
      </c>
      <c r="E6">
        <v>10800</v>
      </c>
      <c r="F6" t="s">
        <v>15</v>
      </c>
      <c r="G6" t="s">
        <v>10</v>
      </c>
      <c r="H6" t="str">
        <f t="shared" si="1"/>
        <v xml:space="preserve"> OK</v>
      </c>
      <c r="I6" t="b">
        <f t="shared" si="0"/>
        <v>0</v>
      </c>
    </row>
    <row r="7" spans="1:9">
      <c r="A7">
        <v>6</v>
      </c>
      <c r="B7" t="s">
        <v>19</v>
      </c>
      <c r="C7">
        <v>10</v>
      </c>
      <c r="D7" t="s">
        <v>8</v>
      </c>
      <c r="E7">
        <v>22500</v>
      </c>
      <c r="F7" t="s">
        <v>13</v>
      </c>
      <c r="G7" t="s">
        <v>10</v>
      </c>
      <c r="H7" t="str">
        <f t="shared" si="1"/>
        <v xml:space="preserve"> OK</v>
      </c>
      <c r="I7" t="b">
        <f t="shared" si="0"/>
        <v>0</v>
      </c>
    </row>
    <row r="8" spans="1:9">
      <c r="A8">
        <v>7</v>
      </c>
      <c r="B8" t="s">
        <v>11</v>
      </c>
      <c r="C8">
        <v>6</v>
      </c>
      <c r="D8" t="s">
        <v>14</v>
      </c>
      <c r="E8">
        <v>14100</v>
      </c>
      <c r="F8" t="s">
        <v>13</v>
      </c>
      <c r="G8" t="s">
        <v>10</v>
      </c>
      <c r="H8" t="str">
        <f t="shared" si="1"/>
        <v xml:space="preserve"> OK</v>
      </c>
      <c r="I8" t="b">
        <f t="shared" si="0"/>
        <v>0</v>
      </c>
    </row>
    <row r="9" spans="1:9">
      <c r="A9">
        <v>8</v>
      </c>
      <c r="B9" t="s">
        <v>7</v>
      </c>
      <c r="C9">
        <v>3</v>
      </c>
      <c r="D9" t="s">
        <v>12</v>
      </c>
      <c r="E9">
        <v>9800</v>
      </c>
      <c r="F9" t="s">
        <v>15</v>
      </c>
      <c r="G9" t="s">
        <v>16</v>
      </c>
      <c r="H9" t="str">
        <f t="shared" si="1"/>
        <v xml:space="preserve"> OK</v>
      </c>
      <c r="I9" t="b">
        <f t="shared" si="0"/>
        <v>0</v>
      </c>
    </row>
    <row r="10" spans="1:9">
      <c r="A10">
        <v>9</v>
      </c>
      <c r="B10" t="s">
        <v>17</v>
      </c>
      <c r="C10">
        <v>1</v>
      </c>
      <c r="D10" t="s">
        <v>12</v>
      </c>
      <c r="E10">
        <v>5900</v>
      </c>
      <c r="F10" t="s">
        <v>9</v>
      </c>
      <c r="G10" t="s">
        <v>16</v>
      </c>
      <c r="H10" t="str">
        <f t="shared" si="1"/>
        <v xml:space="preserve"> OK</v>
      </c>
      <c r="I10" t="b">
        <f t="shared" si="0"/>
        <v>0</v>
      </c>
    </row>
    <row r="11" spans="1:9">
      <c r="A11">
        <v>10</v>
      </c>
      <c r="B11" t="s">
        <v>7</v>
      </c>
      <c r="C11">
        <v>5</v>
      </c>
      <c r="D11" t="s">
        <v>8</v>
      </c>
      <c r="E11">
        <v>12300</v>
      </c>
      <c r="F11" t="s">
        <v>15</v>
      </c>
      <c r="G11" t="s">
        <v>10</v>
      </c>
      <c r="H11" t="str">
        <f t="shared" si="1"/>
        <v xml:space="preserve"> OK</v>
      </c>
      <c r="I11" t="b">
        <f t="shared" si="0"/>
        <v>0</v>
      </c>
    </row>
    <row r="12" spans="1:9">
      <c r="A12">
        <v>11</v>
      </c>
      <c r="B12" t="s">
        <v>19</v>
      </c>
      <c r="C12">
        <v>12</v>
      </c>
      <c r="D12" t="s">
        <v>12</v>
      </c>
      <c r="E12">
        <v>24800</v>
      </c>
      <c r="F12" t="s">
        <v>13</v>
      </c>
      <c r="G12" t="s">
        <v>10</v>
      </c>
      <c r="H12" t="str">
        <f t="shared" si="1"/>
        <v xml:space="preserve"> OK</v>
      </c>
      <c r="I12" t="b">
        <f t="shared" si="0"/>
        <v>0</v>
      </c>
    </row>
    <row r="13" spans="1:9">
      <c r="A13">
        <v>12</v>
      </c>
      <c r="B13" t="s">
        <v>11</v>
      </c>
      <c r="C13">
        <v>8</v>
      </c>
      <c r="D13" t="s">
        <v>18</v>
      </c>
      <c r="E13">
        <v>16700</v>
      </c>
      <c r="F13" t="s">
        <v>13</v>
      </c>
      <c r="G13" t="s">
        <v>10</v>
      </c>
      <c r="H13" t="str">
        <f t="shared" si="1"/>
        <v xml:space="preserve"> OK</v>
      </c>
      <c r="I13" t="b">
        <f t="shared" si="0"/>
        <v>0</v>
      </c>
    </row>
    <row r="14" spans="1:9">
      <c r="A14">
        <v>13</v>
      </c>
      <c r="B14" t="s">
        <v>7</v>
      </c>
      <c r="C14">
        <v>2</v>
      </c>
      <c r="D14" t="s">
        <v>14</v>
      </c>
      <c r="E14">
        <v>8200</v>
      </c>
      <c r="F14" t="s">
        <v>9</v>
      </c>
      <c r="G14" t="s">
        <v>16</v>
      </c>
      <c r="H14" t="str">
        <f t="shared" si="1"/>
        <v xml:space="preserve"> OK</v>
      </c>
      <c r="I14" t="b">
        <f t="shared" si="0"/>
        <v>0</v>
      </c>
    </row>
    <row r="15" spans="1:9">
      <c r="A15">
        <v>14</v>
      </c>
      <c r="B15" t="s">
        <v>17</v>
      </c>
      <c r="C15">
        <v>1</v>
      </c>
      <c r="D15" t="s">
        <v>14</v>
      </c>
      <c r="E15">
        <v>6500</v>
      </c>
      <c r="F15" t="s">
        <v>15</v>
      </c>
      <c r="G15" t="s">
        <v>10</v>
      </c>
      <c r="H15" t="str">
        <f t="shared" si="1"/>
        <v xml:space="preserve"> OK</v>
      </c>
      <c r="I15" t="b">
        <f t="shared" si="0"/>
        <v>0</v>
      </c>
    </row>
    <row r="16" spans="1:9">
      <c r="A16">
        <v>15</v>
      </c>
      <c r="B16" t="s">
        <v>7</v>
      </c>
      <c r="C16">
        <v>4</v>
      </c>
      <c r="D16" t="s">
        <v>12</v>
      </c>
      <c r="E16">
        <v>11200</v>
      </c>
      <c r="F16" t="s">
        <v>15</v>
      </c>
      <c r="G16" t="s">
        <v>10</v>
      </c>
      <c r="H16" t="str">
        <f t="shared" si="1"/>
        <v xml:space="preserve"> OK</v>
      </c>
      <c r="I16" t="b">
        <f t="shared" si="0"/>
        <v>0</v>
      </c>
    </row>
    <row r="17" spans="1:9">
      <c r="A17">
        <v>16</v>
      </c>
      <c r="B17" t="s">
        <v>11</v>
      </c>
      <c r="C17">
        <v>9</v>
      </c>
      <c r="D17" t="s">
        <v>8</v>
      </c>
      <c r="E17">
        <v>17500</v>
      </c>
      <c r="F17" t="s">
        <v>13</v>
      </c>
      <c r="G17" t="s">
        <v>10</v>
      </c>
      <c r="H17" t="str">
        <f t="shared" si="1"/>
        <v xml:space="preserve"> OK</v>
      </c>
      <c r="I17" t="b">
        <f t="shared" si="0"/>
        <v>0</v>
      </c>
    </row>
    <row r="18" spans="1:9">
      <c r="A18">
        <v>17</v>
      </c>
      <c r="B18" t="s">
        <v>7</v>
      </c>
      <c r="C18">
        <v>3</v>
      </c>
      <c r="D18" t="s">
        <v>18</v>
      </c>
      <c r="E18">
        <v>9500</v>
      </c>
      <c r="F18" t="s">
        <v>9</v>
      </c>
      <c r="G18" t="s">
        <v>16</v>
      </c>
      <c r="H18" t="str">
        <f t="shared" si="1"/>
        <v xml:space="preserve"> OK</v>
      </c>
      <c r="I18" t="b">
        <f t="shared" si="0"/>
        <v>0</v>
      </c>
    </row>
    <row r="19" spans="1:9">
      <c r="A19">
        <v>18</v>
      </c>
      <c r="B19" t="s">
        <v>19</v>
      </c>
      <c r="C19">
        <v>11</v>
      </c>
      <c r="D19" t="s">
        <v>14</v>
      </c>
      <c r="E19">
        <v>23200</v>
      </c>
      <c r="F19" t="s">
        <v>13</v>
      </c>
      <c r="G19" t="s">
        <v>10</v>
      </c>
      <c r="H19" t="str">
        <f t="shared" si="1"/>
        <v xml:space="preserve"> OK</v>
      </c>
      <c r="I19" t="b">
        <f t="shared" si="0"/>
        <v>0</v>
      </c>
    </row>
    <row r="20" spans="1:9">
      <c r="A20">
        <v>19</v>
      </c>
      <c r="B20" t="s">
        <v>7</v>
      </c>
      <c r="C20">
        <v>2</v>
      </c>
      <c r="D20" t="s">
        <v>12</v>
      </c>
      <c r="E20">
        <v>8800</v>
      </c>
      <c r="F20" t="s">
        <v>15</v>
      </c>
      <c r="G20" t="s">
        <v>10</v>
      </c>
      <c r="H20" t="str">
        <f t="shared" si="1"/>
        <v xml:space="preserve"> OK</v>
      </c>
      <c r="I20" t="b">
        <f t="shared" si="0"/>
        <v>0</v>
      </c>
    </row>
    <row r="21" spans="1:9">
      <c r="A21">
        <v>20</v>
      </c>
      <c r="B21" t="s">
        <v>17</v>
      </c>
      <c r="C21">
        <v>0.5</v>
      </c>
      <c r="D21" s="3" t="s">
        <v>18</v>
      </c>
      <c r="E21">
        <v>5500</v>
      </c>
      <c r="F21" t="s">
        <v>9</v>
      </c>
      <c r="G21" t="s">
        <v>16</v>
      </c>
      <c r="H21" t="str">
        <f t="shared" si="1"/>
        <v xml:space="preserve"> OK</v>
      </c>
      <c r="I21" t="b">
        <f t="shared" si="0"/>
        <v>0</v>
      </c>
    </row>
    <row r="22" spans="1:9">
      <c r="A22">
        <v>21</v>
      </c>
      <c r="B22" t="s">
        <v>11</v>
      </c>
      <c r="C22">
        <v>7</v>
      </c>
      <c r="D22" t="s">
        <v>12</v>
      </c>
      <c r="E22">
        <v>15800</v>
      </c>
      <c r="F22" t="s">
        <v>13</v>
      </c>
      <c r="G22" t="s">
        <v>10</v>
      </c>
      <c r="H22" t="str">
        <f t="shared" si="1"/>
        <v xml:space="preserve"> OK</v>
      </c>
      <c r="I22" t="b">
        <f t="shared" si="0"/>
        <v>0</v>
      </c>
    </row>
    <row r="23" spans="1:9">
      <c r="A23">
        <v>22</v>
      </c>
      <c r="B23" t="s">
        <v>7</v>
      </c>
      <c r="C23">
        <v>5</v>
      </c>
      <c r="D23" t="s">
        <v>14</v>
      </c>
      <c r="E23">
        <v>12700</v>
      </c>
      <c r="F23" t="s">
        <v>15</v>
      </c>
      <c r="G23" t="s">
        <v>10</v>
      </c>
      <c r="H23" t="str">
        <f t="shared" si="1"/>
        <v xml:space="preserve"> OK</v>
      </c>
      <c r="I23" t="b">
        <f t="shared" si="0"/>
        <v>0</v>
      </c>
    </row>
    <row r="24" spans="1:9">
      <c r="A24">
        <v>23</v>
      </c>
      <c r="B24" t="s">
        <v>7</v>
      </c>
      <c r="C24">
        <v>3</v>
      </c>
      <c r="D24" t="s">
        <v>8</v>
      </c>
      <c r="E24">
        <v>9600</v>
      </c>
      <c r="F24" t="s">
        <v>15</v>
      </c>
      <c r="G24" t="s">
        <v>16</v>
      </c>
      <c r="H24" t="str">
        <f t="shared" si="1"/>
        <v xml:space="preserve"> OK</v>
      </c>
      <c r="I24" t="b">
        <f t="shared" si="0"/>
        <v>0</v>
      </c>
    </row>
    <row r="25" spans="1:9">
      <c r="A25">
        <v>24</v>
      </c>
      <c r="B25" t="s">
        <v>19</v>
      </c>
      <c r="C25">
        <v>13</v>
      </c>
      <c r="D25" t="s">
        <v>18</v>
      </c>
      <c r="E25">
        <v>25500</v>
      </c>
      <c r="F25" t="s">
        <v>13</v>
      </c>
      <c r="G25" t="s">
        <v>10</v>
      </c>
      <c r="H25" t="str">
        <f t="shared" si="1"/>
        <v xml:space="preserve"> OK</v>
      </c>
      <c r="I25" t="b">
        <f t="shared" si="0"/>
        <v>0</v>
      </c>
    </row>
    <row r="26" spans="1:9">
      <c r="A26">
        <v>25</v>
      </c>
      <c r="B26" t="s">
        <v>17</v>
      </c>
      <c r="C26">
        <v>1</v>
      </c>
      <c r="D26" t="s">
        <v>12</v>
      </c>
      <c r="E26">
        <v>6100</v>
      </c>
      <c r="F26" t="s">
        <v>9</v>
      </c>
      <c r="G26" t="s">
        <v>16</v>
      </c>
      <c r="H26" t="str">
        <f t="shared" si="1"/>
        <v xml:space="preserve"> OK</v>
      </c>
      <c r="I26" t="b">
        <f t="shared" si="0"/>
        <v>0</v>
      </c>
    </row>
    <row r="27" spans="1:9">
      <c r="A27">
        <v>26</v>
      </c>
      <c r="B27" t="s">
        <v>11</v>
      </c>
      <c r="C27">
        <v>8</v>
      </c>
      <c r="D27" t="s">
        <v>14</v>
      </c>
      <c r="E27">
        <v>16200</v>
      </c>
      <c r="F27" t="s">
        <v>13</v>
      </c>
      <c r="G27" t="s">
        <v>10</v>
      </c>
      <c r="H27" t="str">
        <f t="shared" si="1"/>
        <v xml:space="preserve"> OK</v>
      </c>
      <c r="I27" t="b">
        <f t="shared" si="0"/>
        <v>0</v>
      </c>
    </row>
    <row r="28" spans="1:9">
      <c r="A28">
        <v>27</v>
      </c>
      <c r="B28" t="s">
        <v>7</v>
      </c>
      <c r="C28">
        <v>4</v>
      </c>
      <c r="D28" t="s">
        <v>8</v>
      </c>
      <c r="E28">
        <v>10500</v>
      </c>
      <c r="F28" t="s">
        <v>15</v>
      </c>
      <c r="G28" t="s">
        <v>10</v>
      </c>
      <c r="H28" t="str">
        <f t="shared" si="1"/>
        <v xml:space="preserve"> OK</v>
      </c>
      <c r="I28" t="b">
        <f t="shared" si="0"/>
        <v>0</v>
      </c>
    </row>
    <row r="29" spans="1:9">
      <c r="A29">
        <v>28</v>
      </c>
      <c r="B29" t="s">
        <v>7</v>
      </c>
      <c r="C29">
        <v>2</v>
      </c>
      <c r="D29" t="s">
        <v>18</v>
      </c>
      <c r="E29">
        <v>8400</v>
      </c>
      <c r="F29" t="s">
        <v>9</v>
      </c>
      <c r="G29" t="s">
        <v>16</v>
      </c>
      <c r="H29" t="str">
        <f t="shared" si="1"/>
        <v xml:space="preserve"> OK</v>
      </c>
      <c r="I29" t="b">
        <f t="shared" si="0"/>
        <v>0</v>
      </c>
    </row>
    <row r="30" spans="1:9">
      <c r="A30">
        <v>29</v>
      </c>
      <c r="B30" t="s">
        <v>11</v>
      </c>
      <c r="C30">
        <v>6</v>
      </c>
      <c r="D30" t="s">
        <v>12</v>
      </c>
      <c r="E30">
        <v>14500</v>
      </c>
      <c r="F30" t="s">
        <v>13</v>
      </c>
      <c r="G30" t="s">
        <v>10</v>
      </c>
      <c r="H30" t="str">
        <f t="shared" si="1"/>
        <v xml:space="preserve"> OK</v>
      </c>
      <c r="I30" t="b">
        <f t="shared" si="0"/>
        <v>0</v>
      </c>
    </row>
    <row r="31" spans="1:9">
      <c r="A31">
        <v>30</v>
      </c>
      <c r="B31" t="s">
        <v>7</v>
      </c>
      <c r="C31">
        <v>3</v>
      </c>
      <c r="D31" t="s">
        <v>14</v>
      </c>
      <c r="E31">
        <v>9300</v>
      </c>
      <c r="F31" t="s">
        <v>15</v>
      </c>
      <c r="G31" t="s">
        <v>10</v>
      </c>
      <c r="H31" t="str">
        <f t="shared" si="1"/>
        <v xml:space="preserve"> OK</v>
      </c>
      <c r="I31" t="b">
        <f t="shared" si="0"/>
        <v>0</v>
      </c>
    </row>
    <row r="32" spans="1:9">
      <c r="A32">
        <v>31</v>
      </c>
      <c r="B32" t="s">
        <v>19</v>
      </c>
      <c r="C32">
        <v>10</v>
      </c>
      <c r="D32" t="s">
        <v>8</v>
      </c>
      <c r="F32" t="s">
        <v>13</v>
      </c>
      <c r="G32" t="s">
        <v>10</v>
      </c>
      <c r="H32" t="str">
        <f t="shared" si="1"/>
        <v>BRAK DANYCH</v>
      </c>
      <c r="I32" t="b">
        <f t="shared" si="0"/>
        <v>0</v>
      </c>
    </row>
    <row r="33" spans="1:9">
      <c r="A33">
        <v>32</v>
      </c>
      <c r="B33" t="s">
        <v>17</v>
      </c>
      <c r="C33">
        <v>1</v>
      </c>
      <c r="D33" t="s">
        <v>14</v>
      </c>
      <c r="E33">
        <v>6400</v>
      </c>
      <c r="F33" t="s">
        <v>9</v>
      </c>
      <c r="G33" t="s">
        <v>10</v>
      </c>
      <c r="H33" t="str">
        <f t="shared" si="1"/>
        <v xml:space="preserve"> OK</v>
      </c>
      <c r="I33" t="b">
        <f t="shared" si="0"/>
        <v>0</v>
      </c>
    </row>
    <row r="34" spans="1:9">
      <c r="A34">
        <v>33</v>
      </c>
      <c r="B34" t="s">
        <v>7</v>
      </c>
      <c r="C34">
        <v>5</v>
      </c>
      <c r="D34" t="s">
        <v>12</v>
      </c>
      <c r="E34">
        <v>11800</v>
      </c>
      <c r="F34" t="s">
        <v>15</v>
      </c>
      <c r="G34" t="s">
        <v>10</v>
      </c>
      <c r="H34" t="str">
        <f t="shared" si="1"/>
        <v xml:space="preserve"> OK</v>
      </c>
      <c r="I34" t="b">
        <f t="shared" ref="I34:I65" si="2">COUNTIF($A$2:$A$109, A34) &gt; 1</f>
        <v>0</v>
      </c>
    </row>
    <row r="35" spans="1:9">
      <c r="A35">
        <v>34</v>
      </c>
      <c r="B35" t="s">
        <v>11</v>
      </c>
      <c r="C35">
        <v>9</v>
      </c>
      <c r="D35" t="s">
        <v>18</v>
      </c>
      <c r="E35">
        <v>17200</v>
      </c>
      <c r="F35" t="s">
        <v>13</v>
      </c>
      <c r="G35" t="s">
        <v>10</v>
      </c>
      <c r="H35" t="str">
        <f t="shared" si="1"/>
        <v xml:space="preserve"> OK</v>
      </c>
      <c r="I35" t="b">
        <f t="shared" si="2"/>
        <v>0</v>
      </c>
    </row>
    <row r="36" spans="1:9">
      <c r="A36">
        <v>35</v>
      </c>
      <c r="B36" t="s">
        <v>7</v>
      </c>
      <c r="C36">
        <v>2</v>
      </c>
      <c r="D36" t="s">
        <v>8</v>
      </c>
      <c r="E36">
        <v>8600</v>
      </c>
      <c r="F36" t="s">
        <v>9</v>
      </c>
      <c r="G36" t="s">
        <v>16</v>
      </c>
      <c r="H36" t="str">
        <f t="shared" si="1"/>
        <v xml:space="preserve"> OK</v>
      </c>
      <c r="I36" t="b">
        <f t="shared" si="2"/>
        <v>0</v>
      </c>
    </row>
    <row r="37" spans="1:9">
      <c r="A37">
        <v>36</v>
      </c>
      <c r="B37" t="s">
        <v>7</v>
      </c>
      <c r="C37">
        <v>4</v>
      </c>
      <c r="D37" t="s">
        <v>14</v>
      </c>
      <c r="E37">
        <v>10200</v>
      </c>
      <c r="F37" t="s">
        <v>15</v>
      </c>
      <c r="G37" t="s">
        <v>10</v>
      </c>
      <c r="H37" t="str">
        <f t="shared" si="1"/>
        <v xml:space="preserve"> OK</v>
      </c>
      <c r="I37" t="b">
        <f t="shared" si="2"/>
        <v>0</v>
      </c>
    </row>
    <row r="38" spans="1:9">
      <c r="A38">
        <v>37</v>
      </c>
      <c r="B38" t="s">
        <v>17</v>
      </c>
      <c r="C38">
        <v>1</v>
      </c>
      <c r="D38" t="s">
        <v>12</v>
      </c>
      <c r="E38">
        <v>5800</v>
      </c>
      <c r="F38" t="s">
        <v>9</v>
      </c>
      <c r="G38" t="s">
        <v>16</v>
      </c>
      <c r="H38" t="str">
        <f t="shared" si="1"/>
        <v xml:space="preserve"> OK</v>
      </c>
      <c r="I38" t="b">
        <f t="shared" si="2"/>
        <v>0</v>
      </c>
    </row>
    <row r="39" spans="1:9">
      <c r="A39">
        <v>38</v>
      </c>
      <c r="B39" t="s">
        <v>19</v>
      </c>
      <c r="C39">
        <v>11</v>
      </c>
      <c r="D39" t="s">
        <v>14</v>
      </c>
      <c r="E39">
        <v>23800</v>
      </c>
      <c r="F39" t="s">
        <v>13</v>
      </c>
      <c r="G39" t="s">
        <v>10</v>
      </c>
      <c r="H39" t="str">
        <f t="shared" si="1"/>
        <v xml:space="preserve"> OK</v>
      </c>
      <c r="I39" t="b">
        <f t="shared" si="2"/>
        <v>0</v>
      </c>
    </row>
    <row r="40" spans="1:9">
      <c r="A40">
        <v>39</v>
      </c>
      <c r="B40" t="s">
        <v>7</v>
      </c>
      <c r="C40">
        <v>3</v>
      </c>
      <c r="D40" t="s">
        <v>18</v>
      </c>
      <c r="E40">
        <v>9700</v>
      </c>
      <c r="F40" t="s">
        <v>15</v>
      </c>
      <c r="G40" t="s">
        <v>16</v>
      </c>
      <c r="H40" t="str">
        <f t="shared" si="1"/>
        <v xml:space="preserve"> OK</v>
      </c>
      <c r="I40" t="b">
        <f t="shared" si="2"/>
        <v>0</v>
      </c>
    </row>
    <row r="41" spans="1:9">
      <c r="A41">
        <v>40</v>
      </c>
      <c r="B41" t="s">
        <v>11</v>
      </c>
      <c r="C41">
        <v>7</v>
      </c>
      <c r="D41" t="s">
        <v>8</v>
      </c>
      <c r="E41">
        <v>15500</v>
      </c>
      <c r="F41" t="s">
        <v>13</v>
      </c>
      <c r="G41" t="s">
        <v>10</v>
      </c>
      <c r="H41" t="str">
        <f t="shared" si="1"/>
        <v xml:space="preserve"> OK</v>
      </c>
      <c r="I41" t="b">
        <f t="shared" si="2"/>
        <v>0</v>
      </c>
    </row>
    <row r="42" spans="1:9">
      <c r="A42">
        <v>41</v>
      </c>
      <c r="B42" t="s">
        <v>7</v>
      </c>
      <c r="C42">
        <v>5</v>
      </c>
      <c r="D42" t="s">
        <v>12</v>
      </c>
      <c r="E42">
        <v>12100</v>
      </c>
      <c r="F42" t="s">
        <v>15</v>
      </c>
      <c r="G42" t="s">
        <v>10</v>
      </c>
      <c r="H42" t="str">
        <f t="shared" si="1"/>
        <v xml:space="preserve"> OK</v>
      </c>
      <c r="I42" t="b">
        <f t="shared" si="2"/>
        <v>0</v>
      </c>
    </row>
    <row r="43" spans="1:9">
      <c r="A43">
        <v>42</v>
      </c>
      <c r="B43" t="s">
        <v>7</v>
      </c>
      <c r="C43">
        <v>2</v>
      </c>
      <c r="D43" t="s">
        <v>14</v>
      </c>
      <c r="E43">
        <v>8300</v>
      </c>
      <c r="F43" t="s">
        <v>9</v>
      </c>
      <c r="G43" t="s">
        <v>16</v>
      </c>
      <c r="H43" t="str">
        <f t="shared" si="1"/>
        <v xml:space="preserve"> OK</v>
      </c>
      <c r="I43" t="b">
        <f t="shared" si="2"/>
        <v>0</v>
      </c>
    </row>
    <row r="44" spans="1:9">
      <c r="A44">
        <v>43</v>
      </c>
      <c r="B44" t="s">
        <v>17</v>
      </c>
      <c r="C44">
        <v>0.5</v>
      </c>
      <c r="D44" s="3" t="s">
        <v>18</v>
      </c>
      <c r="E44">
        <v>5600</v>
      </c>
      <c r="F44" t="s">
        <v>9</v>
      </c>
      <c r="G44" t="s">
        <v>10</v>
      </c>
      <c r="H44" t="str">
        <f t="shared" si="1"/>
        <v xml:space="preserve"> OK</v>
      </c>
      <c r="I44" t="b">
        <f t="shared" si="2"/>
        <v>0</v>
      </c>
    </row>
    <row r="45" spans="1:9">
      <c r="A45">
        <v>44</v>
      </c>
      <c r="B45" t="s">
        <v>11</v>
      </c>
      <c r="C45">
        <v>8</v>
      </c>
      <c r="D45" t="s">
        <v>18</v>
      </c>
      <c r="E45">
        <v>16500</v>
      </c>
      <c r="F45" t="s">
        <v>13</v>
      </c>
      <c r="G45" t="s">
        <v>10</v>
      </c>
      <c r="H45" t="str">
        <f t="shared" si="1"/>
        <v xml:space="preserve"> OK</v>
      </c>
      <c r="I45" t="b">
        <f t="shared" si="2"/>
        <v>0</v>
      </c>
    </row>
    <row r="46" spans="1:9">
      <c r="A46">
        <v>45</v>
      </c>
      <c r="B46" t="s">
        <v>7</v>
      </c>
      <c r="C46">
        <v>4</v>
      </c>
      <c r="D46" t="s">
        <v>12</v>
      </c>
      <c r="E46">
        <v>10900</v>
      </c>
      <c r="F46" t="s">
        <v>15</v>
      </c>
      <c r="G46" t="s">
        <v>10</v>
      </c>
      <c r="H46" t="str">
        <f t="shared" si="1"/>
        <v xml:space="preserve"> OK</v>
      </c>
      <c r="I46" t="b">
        <f t="shared" si="2"/>
        <v>0</v>
      </c>
    </row>
    <row r="47" spans="1:9">
      <c r="A47">
        <v>46</v>
      </c>
      <c r="B47" t="s">
        <v>19</v>
      </c>
      <c r="C47">
        <v>12</v>
      </c>
      <c r="D47" t="s">
        <v>12</v>
      </c>
      <c r="E47">
        <v>24500</v>
      </c>
      <c r="F47" t="s">
        <v>13</v>
      </c>
      <c r="G47" t="s">
        <v>10</v>
      </c>
      <c r="H47" t="str">
        <f t="shared" si="1"/>
        <v xml:space="preserve"> OK</v>
      </c>
      <c r="I47" t="b">
        <f t="shared" si="2"/>
        <v>0</v>
      </c>
    </row>
    <row r="48" spans="1:9">
      <c r="A48">
        <v>47</v>
      </c>
      <c r="B48" t="s">
        <v>7</v>
      </c>
      <c r="C48">
        <v>3</v>
      </c>
      <c r="D48" t="s">
        <v>8</v>
      </c>
      <c r="E48">
        <v>9400</v>
      </c>
      <c r="F48" t="s">
        <v>15</v>
      </c>
      <c r="G48" t="s">
        <v>16</v>
      </c>
      <c r="H48" t="str">
        <f t="shared" si="1"/>
        <v xml:space="preserve"> OK</v>
      </c>
      <c r="I48" t="b">
        <f t="shared" si="2"/>
        <v>0</v>
      </c>
    </row>
    <row r="49" spans="1:9">
      <c r="A49">
        <v>48</v>
      </c>
      <c r="B49" t="s">
        <v>7</v>
      </c>
      <c r="C49">
        <v>2</v>
      </c>
      <c r="D49" t="s">
        <v>18</v>
      </c>
      <c r="E49">
        <v>8700</v>
      </c>
      <c r="F49" t="s">
        <v>9</v>
      </c>
      <c r="G49" t="s">
        <v>16</v>
      </c>
      <c r="H49" t="str">
        <f t="shared" si="1"/>
        <v xml:space="preserve"> OK</v>
      </c>
      <c r="I49" t="b">
        <f t="shared" si="2"/>
        <v>0</v>
      </c>
    </row>
    <row r="50" spans="1:9">
      <c r="A50">
        <v>49</v>
      </c>
      <c r="B50" t="s">
        <v>11</v>
      </c>
      <c r="C50">
        <v>6</v>
      </c>
      <c r="D50" t="s">
        <v>14</v>
      </c>
      <c r="E50">
        <v>14300</v>
      </c>
      <c r="F50" t="s">
        <v>13</v>
      </c>
      <c r="G50" t="s">
        <v>10</v>
      </c>
      <c r="H50" t="str">
        <f t="shared" si="1"/>
        <v xml:space="preserve"> OK</v>
      </c>
      <c r="I50" t="b">
        <f t="shared" si="2"/>
        <v>0</v>
      </c>
    </row>
    <row r="51" spans="1:9">
      <c r="A51">
        <v>50</v>
      </c>
      <c r="B51" t="s">
        <v>7</v>
      </c>
      <c r="C51">
        <v>5</v>
      </c>
      <c r="D51" t="s">
        <v>8</v>
      </c>
      <c r="E51">
        <v>12500</v>
      </c>
      <c r="F51" t="s">
        <v>15</v>
      </c>
      <c r="G51" t="s">
        <v>10</v>
      </c>
      <c r="H51" t="str">
        <f t="shared" si="1"/>
        <v xml:space="preserve"> OK</v>
      </c>
      <c r="I51" t="b">
        <f t="shared" si="2"/>
        <v>0</v>
      </c>
    </row>
    <row r="52" spans="1:9">
      <c r="A52">
        <v>51</v>
      </c>
      <c r="B52" t="s">
        <v>17</v>
      </c>
      <c r="C52">
        <v>1</v>
      </c>
      <c r="D52" t="s">
        <v>18</v>
      </c>
      <c r="E52">
        <v>6000</v>
      </c>
      <c r="F52" t="s">
        <v>9</v>
      </c>
      <c r="G52" t="s">
        <v>16</v>
      </c>
      <c r="H52" t="str">
        <f t="shared" si="1"/>
        <v xml:space="preserve"> OK</v>
      </c>
      <c r="I52" t="b">
        <f t="shared" si="2"/>
        <v>0</v>
      </c>
    </row>
    <row r="53" spans="1:9">
      <c r="A53">
        <v>52</v>
      </c>
      <c r="B53" t="s">
        <v>7</v>
      </c>
      <c r="C53">
        <v>3</v>
      </c>
      <c r="D53" t="s">
        <v>12</v>
      </c>
      <c r="E53">
        <v>9700</v>
      </c>
      <c r="F53" t="s">
        <v>15</v>
      </c>
      <c r="G53" t="s">
        <v>10</v>
      </c>
      <c r="H53" t="str">
        <f t="shared" si="1"/>
        <v xml:space="preserve"> OK</v>
      </c>
      <c r="I53" t="b">
        <f t="shared" si="2"/>
        <v>0</v>
      </c>
    </row>
    <row r="54" spans="1:9">
      <c r="A54">
        <v>53</v>
      </c>
      <c r="B54" t="s">
        <v>11</v>
      </c>
      <c r="C54">
        <v>7</v>
      </c>
      <c r="D54" t="s">
        <v>8</v>
      </c>
      <c r="E54">
        <v>16000</v>
      </c>
      <c r="F54" t="s">
        <v>13</v>
      </c>
      <c r="G54" t="s">
        <v>10</v>
      </c>
      <c r="H54" t="str">
        <f t="shared" si="1"/>
        <v xml:space="preserve"> OK</v>
      </c>
      <c r="I54" t="b">
        <f t="shared" si="2"/>
        <v>0</v>
      </c>
    </row>
    <row r="55" spans="1:9">
      <c r="A55">
        <v>54</v>
      </c>
      <c r="B55" t="s">
        <v>7</v>
      </c>
      <c r="C55">
        <v>4</v>
      </c>
      <c r="D55" t="s">
        <v>14</v>
      </c>
      <c r="E55">
        <v>10400</v>
      </c>
      <c r="F55" t="s">
        <v>15</v>
      </c>
      <c r="G55" t="s">
        <v>10</v>
      </c>
      <c r="H55" t="str">
        <f t="shared" si="1"/>
        <v xml:space="preserve"> OK</v>
      </c>
      <c r="I55" t="b">
        <f t="shared" si="2"/>
        <v>0</v>
      </c>
    </row>
    <row r="56" spans="1:9">
      <c r="A56">
        <v>55</v>
      </c>
      <c r="B56" t="s">
        <v>19</v>
      </c>
      <c r="C56">
        <v>11</v>
      </c>
      <c r="D56" t="s">
        <v>8</v>
      </c>
      <c r="E56">
        <v>23500</v>
      </c>
      <c r="F56" t="s">
        <v>13</v>
      </c>
      <c r="G56" t="s">
        <v>10</v>
      </c>
      <c r="H56" t="str">
        <f t="shared" si="1"/>
        <v xml:space="preserve"> OK</v>
      </c>
      <c r="I56" t="b">
        <f t="shared" si="2"/>
        <v>0</v>
      </c>
    </row>
    <row r="57" spans="1:9">
      <c r="A57">
        <v>56</v>
      </c>
      <c r="B57" t="s">
        <v>7</v>
      </c>
      <c r="C57">
        <v>2</v>
      </c>
      <c r="D57" t="s">
        <v>12</v>
      </c>
      <c r="E57">
        <v>8900</v>
      </c>
      <c r="F57" t="s">
        <v>9</v>
      </c>
      <c r="G57" t="s">
        <v>16</v>
      </c>
      <c r="H57" t="str">
        <f t="shared" si="1"/>
        <v xml:space="preserve"> OK</v>
      </c>
      <c r="I57" t="b">
        <f t="shared" si="2"/>
        <v>0</v>
      </c>
    </row>
    <row r="58" spans="1:9">
      <c r="A58">
        <v>57</v>
      </c>
      <c r="B58" t="s">
        <v>17</v>
      </c>
      <c r="C58">
        <v>1</v>
      </c>
      <c r="D58" t="s">
        <v>14</v>
      </c>
      <c r="E58">
        <v>6300</v>
      </c>
      <c r="F58" t="s">
        <v>9</v>
      </c>
      <c r="G58" t="s">
        <v>10</v>
      </c>
      <c r="H58" t="str">
        <f t="shared" si="1"/>
        <v xml:space="preserve"> OK</v>
      </c>
      <c r="I58" t="b">
        <f t="shared" si="2"/>
        <v>0</v>
      </c>
    </row>
    <row r="59" spans="1:9">
      <c r="A59">
        <v>58</v>
      </c>
      <c r="B59" t="s">
        <v>11</v>
      </c>
      <c r="C59">
        <v>8</v>
      </c>
      <c r="D59" t="s">
        <v>12</v>
      </c>
      <c r="E59">
        <v>16800</v>
      </c>
      <c r="F59" t="s">
        <v>13</v>
      </c>
      <c r="G59" t="s">
        <v>10</v>
      </c>
      <c r="H59" t="str">
        <f t="shared" si="1"/>
        <v xml:space="preserve"> OK</v>
      </c>
      <c r="I59" t="b">
        <f t="shared" si="2"/>
        <v>0</v>
      </c>
    </row>
    <row r="60" spans="1:9">
      <c r="A60">
        <v>59</v>
      </c>
      <c r="B60" t="s">
        <v>7</v>
      </c>
      <c r="C60">
        <v>5</v>
      </c>
      <c r="D60" t="s">
        <v>18</v>
      </c>
      <c r="E60">
        <v>12000</v>
      </c>
      <c r="F60" t="s">
        <v>15</v>
      </c>
      <c r="G60" t="s">
        <v>10</v>
      </c>
      <c r="H60" t="str">
        <f t="shared" si="1"/>
        <v xml:space="preserve"> OK</v>
      </c>
      <c r="I60" t="b">
        <f t="shared" si="2"/>
        <v>0</v>
      </c>
    </row>
    <row r="61" spans="1:9">
      <c r="A61">
        <v>60</v>
      </c>
      <c r="B61" t="s">
        <v>19</v>
      </c>
      <c r="C61">
        <v>13</v>
      </c>
      <c r="D61" t="s">
        <v>14</v>
      </c>
      <c r="E61">
        <v>25800</v>
      </c>
      <c r="F61" t="s">
        <v>13</v>
      </c>
      <c r="G61" t="s">
        <v>10</v>
      </c>
      <c r="H61" t="str">
        <f t="shared" si="1"/>
        <v xml:space="preserve"> OK</v>
      </c>
      <c r="I61" t="b">
        <f t="shared" si="2"/>
        <v>0</v>
      </c>
    </row>
    <row r="62" spans="1:9">
      <c r="A62">
        <v>61</v>
      </c>
      <c r="B62" t="s">
        <v>7</v>
      </c>
      <c r="C62">
        <v>3</v>
      </c>
      <c r="D62" t="s">
        <v>8</v>
      </c>
      <c r="E62">
        <v>9500</v>
      </c>
      <c r="F62" t="s">
        <v>15</v>
      </c>
      <c r="G62" t="s">
        <v>10</v>
      </c>
      <c r="H62" t="str">
        <f t="shared" si="1"/>
        <v xml:space="preserve"> OK</v>
      </c>
      <c r="I62" t="b">
        <f t="shared" si="2"/>
        <v>0</v>
      </c>
    </row>
    <row r="63" spans="1:9">
      <c r="A63">
        <v>62</v>
      </c>
      <c r="B63" t="s">
        <v>11</v>
      </c>
      <c r="C63">
        <v>6</v>
      </c>
      <c r="D63" t="s">
        <v>12</v>
      </c>
      <c r="E63">
        <v>14800</v>
      </c>
      <c r="F63" t="s">
        <v>13</v>
      </c>
      <c r="G63" t="s">
        <v>10</v>
      </c>
      <c r="H63" t="str">
        <f t="shared" si="1"/>
        <v xml:space="preserve"> OK</v>
      </c>
      <c r="I63" t="b">
        <f t="shared" si="2"/>
        <v>0</v>
      </c>
    </row>
    <row r="64" spans="1:9">
      <c r="A64">
        <v>63</v>
      </c>
      <c r="B64" t="s">
        <v>7</v>
      </c>
      <c r="C64">
        <v>4</v>
      </c>
      <c r="D64" t="s">
        <v>14</v>
      </c>
      <c r="E64">
        <v>11000</v>
      </c>
      <c r="F64" t="s">
        <v>15</v>
      </c>
      <c r="G64" t="s">
        <v>10</v>
      </c>
      <c r="H64" t="str">
        <f t="shared" si="1"/>
        <v xml:space="preserve"> OK</v>
      </c>
      <c r="I64" t="b">
        <f t="shared" si="2"/>
        <v>0</v>
      </c>
    </row>
    <row r="65" spans="1:17">
      <c r="A65">
        <v>64</v>
      </c>
      <c r="B65" t="s">
        <v>17</v>
      </c>
      <c r="C65">
        <v>1</v>
      </c>
      <c r="D65" t="s">
        <v>12</v>
      </c>
      <c r="E65">
        <v>6000</v>
      </c>
      <c r="F65" t="s">
        <v>9</v>
      </c>
      <c r="G65" t="s">
        <v>16</v>
      </c>
      <c r="H65" t="str">
        <f t="shared" si="1"/>
        <v xml:space="preserve"> OK</v>
      </c>
      <c r="I65" t="b">
        <f t="shared" si="2"/>
        <v>0</v>
      </c>
    </row>
    <row r="66" spans="1:17">
      <c r="A66">
        <v>65</v>
      </c>
      <c r="B66" t="s">
        <v>19</v>
      </c>
      <c r="C66">
        <v>12</v>
      </c>
      <c r="D66" t="s">
        <v>18</v>
      </c>
      <c r="E66">
        <v>24200</v>
      </c>
      <c r="F66" t="s">
        <v>13</v>
      </c>
      <c r="G66" t="s">
        <v>10</v>
      </c>
      <c r="H66" t="str">
        <f t="shared" si="1"/>
        <v xml:space="preserve"> OK</v>
      </c>
      <c r="I66" t="b">
        <f t="shared" ref="I66:I97" si="3">COUNTIF($A$2:$A$109, A66) &gt; 1</f>
        <v>0</v>
      </c>
    </row>
    <row r="67" spans="1:17">
      <c r="A67">
        <v>66</v>
      </c>
      <c r="B67" t="s">
        <v>7</v>
      </c>
      <c r="C67">
        <v>2</v>
      </c>
      <c r="D67" t="s">
        <v>8</v>
      </c>
      <c r="E67">
        <v>8800</v>
      </c>
      <c r="F67" t="s">
        <v>9</v>
      </c>
      <c r="G67" t="s">
        <v>16</v>
      </c>
      <c r="H67" t="str">
        <f t="shared" ref="H67:H104" si="4">IF(A67="", "", IF(I67=TRUE, " DUPLIKAT", IF(OR(E67="", G67=""), "BRAK DANYCH", IF(OR(C67="", D67="", F67=""), " BRAK DANYCH", " OK"))))</f>
        <v xml:space="preserve"> OK</v>
      </c>
      <c r="I67" t="b">
        <f t="shared" si="3"/>
        <v>0</v>
      </c>
    </row>
    <row r="68" spans="1:17">
      <c r="A68">
        <v>67</v>
      </c>
      <c r="B68" t="s">
        <v>11</v>
      </c>
      <c r="C68">
        <v>9</v>
      </c>
      <c r="D68" t="s">
        <v>14</v>
      </c>
      <c r="E68">
        <v>17000</v>
      </c>
      <c r="F68" t="s">
        <v>13</v>
      </c>
      <c r="G68" t="s">
        <v>10</v>
      </c>
      <c r="H68" t="str">
        <f t="shared" si="4"/>
        <v xml:space="preserve"> OK</v>
      </c>
      <c r="I68" t="b">
        <f t="shared" si="3"/>
        <v>0</v>
      </c>
    </row>
    <row r="69" spans="1:17">
      <c r="A69">
        <v>68</v>
      </c>
      <c r="B69" t="s">
        <v>7</v>
      </c>
      <c r="C69">
        <v>5</v>
      </c>
      <c r="D69" t="s">
        <v>12</v>
      </c>
      <c r="E69">
        <v>11900</v>
      </c>
      <c r="F69" t="s">
        <v>15</v>
      </c>
      <c r="G69" t="s">
        <v>10</v>
      </c>
      <c r="H69" t="str">
        <f t="shared" si="4"/>
        <v xml:space="preserve"> OK</v>
      </c>
      <c r="I69" t="b">
        <f t="shared" si="3"/>
        <v>0</v>
      </c>
    </row>
    <row r="70" spans="1:17">
      <c r="A70">
        <v>69</v>
      </c>
      <c r="B70" t="s">
        <v>17</v>
      </c>
      <c r="C70">
        <v>1</v>
      </c>
      <c r="D70" t="s">
        <v>14</v>
      </c>
      <c r="E70">
        <v>6500</v>
      </c>
      <c r="F70" t="s">
        <v>9</v>
      </c>
      <c r="G70" t="s">
        <v>10</v>
      </c>
      <c r="H70" t="str">
        <f t="shared" si="4"/>
        <v xml:space="preserve"> OK</v>
      </c>
      <c r="I70" t="b">
        <f t="shared" si="3"/>
        <v>0</v>
      </c>
    </row>
    <row r="71" spans="1:17">
      <c r="A71">
        <v>70</v>
      </c>
      <c r="B71" t="s">
        <v>19</v>
      </c>
      <c r="C71">
        <v>14</v>
      </c>
      <c r="D71" t="s">
        <v>12</v>
      </c>
      <c r="E71">
        <v>26800</v>
      </c>
      <c r="F71" t="s">
        <v>13</v>
      </c>
      <c r="G71" t="s">
        <v>10</v>
      </c>
      <c r="H71" t="str">
        <f t="shared" si="4"/>
        <v xml:space="preserve"> OK</v>
      </c>
      <c r="I71" t="b">
        <f t="shared" si="3"/>
        <v>0</v>
      </c>
    </row>
    <row r="72" spans="1:17">
      <c r="A72">
        <v>71</v>
      </c>
      <c r="B72" t="s">
        <v>7</v>
      </c>
      <c r="C72">
        <v>3</v>
      </c>
      <c r="D72" t="s">
        <v>18</v>
      </c>
      <c r="E72">
        <v>9800</v>
      </c>
      <c r="F72" t="s">
        <v>15</v>
      </c>
      <c r="G72" t="s">
        <v>16</v>
      </c>
      <c r="H72" t="str">
        <f t="shared" si="4"/>
        <v xml:space="preserve"> OK</v>
      </c>
      <c r="I72" t="b">
        <f t="shared" si="3"/>
        <v>0</v>
      </c>
    </row>
    <row r="73" spans="1:17">
      <c r="A73">
        <v>72</v>
      </c>
      <c r="B73" t="s">
        <v>11</v>
      </c>
      <c r="C73">
        <v>7</v>
      </c>
      <c r="D73" t="s">
        <v>8</v>
      </c>
      <c r="E73">
        <v>15900</v>
      </c>
      <c r="F73" t="s">
        <v>13</v>
      </c>
      <c r="G73" t="s">
        <v>10</v>
      </c>
      <c r="H73" t="str">
        <f t="shared" si="4"/>
        <v xml:space="preserve"> OK</v>
      </c>
      <c r="I73" t="b">
        <f t="shared" si="3"/>
        <v>0</v>
      </c>
    </row>
    <row r="74" spans="1:17">
      <c r="A74">
        <v>73</v>
      </c>
      <c r="B74" t="s">
        <v>7</v>
      </c>
      <c r="C74">
        <v>4</v>
      </c>
      <c r="D74" t="s">
        <v>14</v>
      </c>
      <c r="E74">
        <v>10700</v>
      </c>
      <c r="F74" t="s">
        <v>15</v>
      </c>
      <c r="G74" t="s">
        <v>10</v>
      </c>
      <c r="H74" t="str">
        <f t="shared" si="4"/>
        <v xml:space="preserve"> OK</v>
      </c>
      <c r="I74" t="b">
        <f t="shared" si="3"/>
        <v>0</v>
      </c>
      <c r="Q74">
        <v>1</v>
      </c>
    </row>
    <row r="75" spans="1:17">
      <c r="A75">
        <v>74</v>
      </c>
      <c r="B75" t="s">
        <v>17</v>
      </c>
      <c r="C75">
        <v>0.5</v>
      </c>
      <c r="D75" t="s">
        <v>12</v>
      </c>
      <c r="E75">
        <v>5600</v>
      </c>
      <c r="F75" t="s">
        <v>9</v>
      </c>
      <c r="G75" t="s">
        <v>16</v>
      </c>
      <c r="H75" t="str">
        <f t="shared" si="4"/>
        <v xml:space="preserve"> OK</v>
      </c>
      <c r="I75" t="b">
        <f t="shared" si="3"/>
        <v>0</v>
      </c>
    </row>
    <row r="76" spans="1:17">
      <c r="A76">
        <v>75</v>
      </c>
      <c r="B76" t="s">
        <v>19</v>
      </c>
      <c r="C76">
        <v>11</v>
      </c>
      <c r="D76" t="s">
        <v>8</v>
      </c>
      <c r="E76">
        <v>23300</v>
      </c>
      <c r="F76" t="s">
        <v>13</v>
      </c>
      <c r="G76" t="s">
        <v>10</v>
      </c>
      <c r="H76" t="str">
        <f t="shared" si="4"/>
        <v xml:space="preserve"> OK</v>
      </c>
      <c r="I76" t="b">
        <f t="shared" si="3"/>
        <v>0</v>
      </c>
    </row>
    <row r="77" spans="1:17">
      <c r="A77">
        <v>76</v>
      </c>
      <c r="B77" t="s">
        <v>7</v>
      </c>
      <c r="C77">
        <v>2</v>
      </c>
      <c r="D77" t="s">
        <v>14</v>
      </c>
      <c r="E77">
        <v>8600</v>
      </c>
      <c r="F77" t="s">
        <v>9</v>
      </c>
      <c r="G77" t="s">
        <v>16</v>
      </c>
      <c r="H77" t="str">
        <f t="shared" si="4"/>
        <v xml:space="preserve"> OK</v>
      </c>
      <c r="I77" t="b">
        <f t="shared" si="3"/>
        <v>0</v>
      </c>
    </row>
    <row r="78" spans="1:17">
      <c r="A78">
        <v>77</v>
      </c>
      <c r="B78" t="s">
        <v>11</v>
      </c>
      <c r="C78">
        <v>8</v>
      </c>
      <c r="D78" t="s">
        <v>18</v>
      </c>
      <c r="E78">
        <v>16900</v>
      </c>
      <c r="F78" t="s">
        <v>13</v>
      </c>
      <c r="G78" t="s">
        <v>10</v>
      </c>
      <c r="H78" t="str">
        <f t="shared" si="4"/>
        <v xml:space="preserve"> OK</v>
      </c>
      <c r="I78" t="b">
        <f t="shared" si="3"/>
        <v>0</v>
      </c>
    </row>
    <row r="79" spans="1:17">
      <c r="A79">
        <v>78</v>
      </c>
      <c r="B79" t="s">
        <v>7</v>
      </c>
      <c r="C79">
        <v>5</v>
      </c>
      <c r="D79" t="s">
        <v>12</v>
      </c>
      <c r="E79">
        <v>12200</v>
      </c>
      <c r="F79" t="s">
        <v>15</v>
      </c>
      <c r="G79" t="s">
        <v>10</v>
      </c>
      <c r="H79" t="str">
        <f t="shared" si="4"/>
        <v xml:space="preserve"> OK</v>
      </c>
      <c r="I79" t="b">
        <f t="shared" si="3"/>
        <v>0</v>
      </c>
    </row>
    <row r="80" spans="1:17">
      <c r="A80">
        <v>79</v>
      </c>
      <c r="B80" t="s">
        <v>17</v>
      </c>
      <c r="C80">
        <v>1</v>
      </c>
      <c r="D80" t="s">
        <v>8</v>
      </c>
      <c r="E80">
        <v>6100</v>
      </c>
      <c r="F80" t="s">
        <v>9</v>
      </c>
      <c r="G80" t="s">
        <v>10</v>
      </c>
      <c r="H80" t="str">
        <f t="shared" si="4"/>
        <v xml:space="preserve"> OK</v>
      </c>
      <c r="I80" t="b">
        <f t="shared" si="3"/>
        <v>0</v>
      </c>
    </row>
    <row r="81" spans="1:9">
      <c r="A81">
        <v>80</v>
      </c>
      <c r="B81" t="s">
        <v>19</v>
      </c>
      <c r="C81">
        <v>13</v>
      </c>
      <c r="D81" t="s">
        <v>14</v>
      </c>
      <c r="E81">
        <v>25700</v>
      </c>
      <c r="F81" t="s">
        <v>13</v>
      </c>
      <c r="G81" t="s">
        <v>10</v>
      </c>
      <c r="H81" t="str">
        <f t="shared" si="4"/>
        <v xml:space="preserve"> OK</v>
      </c>
      <c r="I81" t="b">
        <f t="shared" si="3"/>
        <v>0</v>
      </c>
    </row>
    <row r="82" spans="1:9">
      <c r="A82">
        <v>81</v>
      </c>
      <c r="B82" t="s">
        <v>7</v>
      </c>
      <c r="C82">
        <v>3</v>
      </c>
      <c r="D82" t="s">
        <v>12</v>
      </c>
      <c r="E82">
        <v>9400</v>
      </c>
      <c r="F82" t="s">
        <v>15</v>
      </c>
      <c r="G82" t="s">
        <v>16</v>
      </c>
      <c r="H82" t="str">
        <f t="shared" si="4"/>
        <v xml:space="preserve"> OK</v>
      </c>
      <c r="I82" t="b">
        <f t="shared" si="3"/>
        <v>0</v>
      </c>
    </row>
    <row r="83" spans="1:9">
      <c r="A83">
        <v>82</v>
      </c>
      <c r="B83" t="s">
        <v>11</v>
      </c>
      <c r="C83">
        <v>6</v>
      </c>
      <c r="D83" t="s">
        <v>8</v>
      </c>
      <c r="E83">
        <v>15000</v>
      </c>
      <c r="F83" t="s">
        <v>13</v>
      </c>
      <c r="G83" t="s">
        <v>10</v>
      </c>
      <c r="H83" t="str">
        <f t="shared" si="4"/>
        <v xml:space="preserve"> OK</v>
      </c>
      <c r="I83" t="b">
        <f t="shared" si="3"/>
        <v>0</v>
      </c>
    </row>
    <row r="84" spans="1:9">
      <c r="A84">
        <v>83</v>
      </c>
      <c r="B84" t="s">
        <v>7</v>
      </c>
      <c r="C84">
        <v>4</v>
      </c>
      <c r="D84" t="s">
        <v>18</v>
      </c>
      <c r="E84">
        <v>10800</v>
      </c>
      <c r="F84" t="s">
        <v>15</v>
      </c>
      <c r="G84" t="s">
        <v>10</v>
      </c>
      <c r="H84" t="str">
        <f t="shared" si="4"/>
        <v xml:space="preserve"> OK</v>
      </c>
      <c r="I84" t="b">
        <f t="shared" si="3"/>
        <v>0</v>
      </c>
    </row>
    <row r="85" spans="1:9">
      <c r="A85">
        <v>84</v>
      </c>
      <c r="B85" t="s">
        <v>17</v>
      </c>
      <c r="C85">
        <v>1</v>
      </c>
      <c r="D85" t="s">
        <v>14</v>
      </c>
      <c r="E85">
        <v>6400</v>
      </c>
      <c r="F85" t="s">
        <v>9</v>
      </c>
      <c r="G85" t="s">
        <v>10</v>
      </c>
      <c r="H85" t="str">
        <f t="shared" si="4"/>
        <v xml:space="preserve"> OK</v>
      </c>
      <c r="I85" t="b">
        <f t="shared" si="3"/>
        <v>0</v>
      </c>
    </row>
    <row r="86" spans="1:9">
      <c r="A86">
        <v>85</v>
      </c>
      <c r="B86" t="s">
        <v>19</v>
      </c>
      <c r="C86">
        <v>12</v>
      </c>
      <c r="D86" t="s">
        <v>12</v>
      </c>
      <c r="E86">
        <v>24600</v>
      </c>
      <c r="F86" t="s">
        <v>13</v>
      </c>
      <c r="G86" t="s">
        <v>10</v>
      </c>
      <c r="H86" t="str">
        <f t="shared" si="4"/>
        <v xml:space="preserve"> OK</v>
      </c>
      <c r="I86" t="b">
        <f t="shared" si="3"/>
        <v>0</v>
      </c>
    </row>
    <row r="87" spans="1:9">
      <c r="A87">
        <v>86</v>
      </c>
      <c r="B87" t="s">
        <v>7</v>
      </c>
      <c r="C87">
        <v>2</v>
      </c>
      <c r="D87" t="s">
        <v>8</v>
      </c>
      <c r="E87">
        <v>8700</v>
      </c>
      <c r="F87" t="s">
        <v>9</v>
      </c>
      <c r="G87" t="s">
        <v>16</v>
      </c>
      <c r="H87" t="str">
        <f t="shared" si="4"/>
        <v xml:space="preserve"> OK</v>
      </c>
      <c r="I87" t="b">
        <f t="shared" si="3"/>
        <v>0</v>
      </c>
    </row>
    <row r="88" spans="1:9">
      <c r="A88">
        <v>87</v>
      </c>
      <c r="B88" t="s">
        <v>11</v>
      </c>
      <c r="C88">
        <v>9</v>
      </c>
      <c r="D88" t="s">
        <v>14</v>
      </c>
      <c r="E88">
        <v>17100</v>
      </c>
      <c r="F88" t="s">
        <v>13</v>
      </c>
      <c r="G88" t="s">
        <v>10</v>
      </c>
      <c r="H88" t="str">
        <f t="shared" si="4"/>
        <v xml:space="preserve"> OK</v>
      </c>
      <c r="I88" t="b">
        <f t="shared" si="3"/>
        <v>0</v>
      </c>
    </row>
    <row r="89" spans="1:9">
      <c r="A89">
        <v>88</v>
      </c>
      <c r="B89" t="s">
        <v>7</v>
      </c>
      <c r="C89">
        <v>5</v>
      </c>
      <c r="D89" t="s">
        <v>12</v>
      </c>
      <c r="E89">
        <v>12300</v>
      </c>
      <c r="F89" t="s">
        <v>15</v>
      </c>
      <c r="G89" t="s">
        <v>10</v>
      </c>
      <c r="H89" t="str">
        <f t="shared" si="4"/>
        <v xml:space="preserve"> OK</v>
      </c>
      <c r="I89" t="b">
        <f t="shared" si="3"/>
        <v>0</v>
      </c>
    </row>
    <row r="90" spans="1:9">
      <c r="A90">
        <v>89</v>
      </c>
      <c r="B90" t="s">
        <v>17</v>
      </c>
      <c r="C90">
        <v>0.5</v>
      </c>
      <c r="D90" t="s">
        <v>18</v>
      </c>
      <c r="E90">
        <v>5700</v>
      </c>
      <c r="F90" t="s">
        <v>9</v>
      </c>
      <c r="G90" t="s">
        <v>16</v>
      </c>
      <c r="H90" t="str">
        <f t="shared" si="4"/>
        <v xml:space="preserve"> OK</v>
      </c>
      <c r="I90" t="b">
        <f t="shared" si="3"/>
        <v>0</v>
      </c>
    </row>
    <row r="91" spans="1:9">
      <c r="A91">
        <v>90</v>
      </c>
      <c r="B91" t="s">
        <v>19</v>
      </c>
      <c r="C91">
        <v>14</v>
      </c>
      <c r="D91" t="s">
        <v>8</v>
      </c>
      <c r="E91">
        <v>27000</v>
      </c>
      <c r="F91" t="s">
        <v>13</v>
      </c>
      <c r="G91" t="s">
        <v>10</v>
      </c>
      <c r="H91" t="str">
        <f t="shared" si="4"/>
        <v xml:space="preserve"> OK</v>
      </c>
      <c r="I91" t="b">
        <f t="shared" si="3"/>
        <v>0</v>
      </c>
    </row>
    <row r="92" spans="1:9">
      <c r="A92">
        <v>91</v>
      </c>
      <c r="B92" t="s">
        <v>7</v>
      </c>
      <c r="C92">
        <v>3</v>
      </c>
      <c r="D92" t="s">
        <v>14</v>
      </c>
      <c r="E92">
        <v>9600</v>
      </c>
      <c r="F92" t="s">
        <v>15</v>
      </c>
      <c r="G92" t="s">
        <v>10</v>
      </c>
      <c r="H92" t="str">
        <f t="shared" si="4"/>
        <v xml:space="preserve"> OK</v>
      </c>
      <c r="I92" t="b">
        <f t="shared" si="3"/>
        <v>0</v>
      </c>
    </row>
    <row r="93" spans="1:9">
      <c r="A93">
        <v>92</v>
      </c>
      <c r="B93" t="s">
        <v>11</v>
      </c>
      <c r="C93">
        <v>7</v>
      </c>
      <c r="D93" t="s">
        <v>12</v>
      </c>
      <c r="E93">
        <v>15600</v>
      </c>
      <c r="F93" t="s">
        <v>13</v>
      </c>
      <c r="G93" t="s">
        <v>10</v>
      </c>
      <c r="H93" t="str">
        <f t="shared" si="4"/>
        <v xml:space="preserve"> OK</v>
      </c>
      <c r="I93" t="b">
        <f t="shared" si="3"/>
        <v>0</v>
      </c>
    </row>
    <row r="94" spans="1:9">
      <c r="A94">
        <v>93</v>
      </c>
      <c r="B94" t="s">
        <v>7</v>
      </c>
      <c r="C94">
        <v>4</v>
      </c>
      <c r="D94" t="s">
        <v>8</v>
      </c>
      <c r="E94">
        <v>10600</v>
      </c>
      <c r="F94" t="s">
        <v>15</v>
      </c>
      <c r="G94" t="s">
        <v>10</v>
      </c>
      <c r="H94" t="str">
        <f t="shared" si="4"/>
        <v xml:space="preserve"> OK</v>
      </c>
      <c r="I94" t="b">
        <f t="shared" si="3"/>
        <v>0</v>
      </c>
    </row>
    <row r="95" spans="1:9">
      <c r="A95">
        <v>94</v>
      </c>
      <c r="B95" t="s">
        <v>17</v>
      </c>
      <c r="C95">
        <v>1</v>
      </c>
      <c r="D95" t="s">
        <v>12</v>
      </c>
      <c r="E95">
        <v>6000</v>
      </c>
      <c r="F95" t="s">
        <v>9</v>
      </c>
      <c r="G95" t="s">
        <v>16</v>
      </c>
      <c r="H95" t="str">
        <f t="shared" si="4"/>
        <v xml:space="preserve"> OK</v>
      </c>
      <c r="I95" t="b">
        <f t="shared" si="3"/>
        <v>0</v>
      </c>
    </row>
    <row r="96" spans="1:9">
      <c r="A96">
        <v>95</v>
      </c>
      <c r="B96" t="s">
        <v>19</v>
      </c>
      <c r="C96">
        <v>11</v>
      </c>
      <c r="D96" t="s">
        <v>18</v>
      </c>
      <c r="E96">
        <v>23900</v>
      </c>
      <c r="F96" t="s">
        <v>13</v>
      </c>
      <c r="G96" t="s">
        <v>10</v>
      </c>
      <c r="H96" t="str">
        <f t="shared" si="4"/>
        <v xml:space="preserve"> OK</v>
      </c>
      <c r="I96" t="b">
        <f t="shared" si="3"/>
        <v>0</v>
      </c>
    </row>
    <row r="97" spans="1:9">
      <c r="A97">
        <v>96</v>
      </c>
      <c r="B97" t="s">
        <v>7</v>
      </c>
      <c r="C97">
        <v>2</v>
      </c>
      <c r="D97" t="s">
        <v>14</v>
      </c>
      <c r="E97">
        <v>8800</v>
      </c>
      <c r="F97" t="s">
        <v>9</v>
      </c>
      <c r="G97" t="s">
        <v>16</v>
      </c>
      <c r="H97" t="str">
        <f t="shared" si="4"/>
        <v xml:space="preserve"> OK</v>
      </c>
      <c r="I97" t="b">
        <f t="shared" si="3"/>
        <v>0</v>
      </c>
    </row>
    <row r="98" spans="1:9">
      <c r="A98">
        <v>97</v>
      </c>
      <c r="B98" t="s">
        <v>11</v>
      </c>
      <c r="C98">
        <v>8</v>
      </c>
      <c r="D98" t="s">
        <v>8</v>
      </c>
      <c r="E98">
        <v>16600</v>
      </c>
      <c r="F98" t="s">
        <v>13</v>
      </c>
      <c r="G98" t="s">
        <v>10</v>
      </c>
      <c r="H98" t="str">
        <f t="shared" si="4"/>
        <v xml:space="preserve"> OK</v>
      </c>
      <c r="I98" t="b">
        <f t="shared" ref="I98:I104" si="5">COUNTIF($A$2:$A$109, A98) &gt; 1</f>
        <v>0</v>
      </c>
    </row>
    <row r="99" spans="1:9">
      <c r="A99">
        <v>98</v>
      </c>
      <c r="B99" t="s">
        <v>7</v>
      </c>
      <c r="C99">
        <v>5</v>
      </c>
      <c r="D99" t="s">
        <v>12</v>
      </c>
      <c r="E99">
        <v>12000</v>
      </c>
      <c r="F99" t="s">
        <v>15</v>
      </c>
      <c r="G99" t="s">
        <v>10</v>
      </c>
      <c r="H99" t="str">
        <f t="shared" si="4"/>
        <v xml:space="preserve"> OK</v>
      </c>
      <c r="I99" t="b">
        <f t="shared" si="5"/>
        <v>0</v>
      </c>
    </row>
    <row r="100" spans="1:9">
      <c r="A100">
        <v>99</v>
      </c>
      <c r="B100" t="s">
        <v>17</v>
      </c>
      <c r="C100">
        <v>1</v>
      </c>
      <c r="D100" t="s">
        <v>14</v>
      </c>
      <c r="E100">
        <v>6500</v>
      </c>
      <c r="F100" t="s">
        <v>9</v>
      </c>
      <c r="G100" t="s">
        <v>10</v>
      </c>
      <c r="H100" t="str">
        <f t="shared" si="4"/>
        <v xml:space="preserve"> OK</v>
      </c>
      <c r="I100" t="b">
        <f t="shared" si="5"/>
        <v>0</v>
      </c>
    </row>
    <row r="101" spans="1:9">
      <c r="A101">
        <v>100</v>
      </c>
      <c r="B101" t="s">
        <v>19</v>
      </c>
      <c r="C101">
        <v>15</v>
      </c>
      <c r="D101" t="s">
        <v>12</v>
      </c>
      <c r="E101">
        <v>28000</v>
      </c>
      <c r="F101" t="s">
        <v>13</v>
      </c>
      <c r="G101" t="s">
        <v>10</v>
      </c>
      <c r="H101" t="str">
        <f t="shared" si="4"/>
        <v xml:space="preserve"> OK</v>
      </c>
      <c r="I101" t="b">
        <f t="shared" si="5"/>
        <v>0</v>
      </c>
    </row>
    <row r="102" spans="1:9">
      <c r="A102">
        <v>101</v>
      </c>
      <c r="B102" t="s">
        <v>7</v>
      </c>
      <c r="C102">
        <v>17</v>
      </c>
      <c r="D102" t="s">
        <v>12</v>
      </c>
      <c r="G102" t="s">
        <v>10</v>
      </c>
      <c r="H102" t="str">
        <f t="shared" si="4"/>
        <v>BRAK DANYCH</v>
      </c>
      <c r="I102" t="b">
        <f t="shared" si="5"/>
        <v>0</v>
      </c>
    </row>
    <row r="103" spans="1:9">
      <c r="A103">
        <v>102</v>
      </c>
      <c r="B103" t="s">
        <v>7</v>
      </c>
      <c r="D103" t="s">
        <v>14</v>
      </c>
      <c r="F103" t="s">
        <v>9</v>
      </c>
      <c r="G103" s="3" t="s">
        <v>21</v>
      </c>
      <c r="H103" t="str">
        <f t="shared" si="4"/>
        <v>BRAK DANYCH</v>
      </c>
      <c r="I103" t="b">
        <f t="shared" si="5"/>
        <v>0</v>
      </c>
    </row>
    <row r="104" spans="1:9">
      <c r="A104">
        <v>103</v>
      </c>
      <c r="B104" t="s">
        <v>7</v>
      </c>
      <c r="C104">
        <v>27</v>
      </c>
      <c r="D104" s="3"/>
      <c r="E104" s="3"/>
      <c r="G104" s="3" t="s">
        <v>10</v>
      </c>
      <c r="H104" t="str">
        <f t="shared" si="4"/>
        <v>BRAK DANYCH</v>
      </c>
      <c r="I104" t="b">
        <f t="shared" si="5"/>
        <v>0</v>
      </c>
    </row>
  </sheetData>
  <autoFilter ref="A1:I104" xr:uid="{17FF774E-1D33-4CE6-947D-FC5EEC049868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DCBF-115F-4996-8BE6-B5D1A9D55BA8}">
  <dimension ref="A42:K141"/>
  <sheetViews>
    <sheetView topLeftCell="A26" zoomScale="85" zoomScaleNormal="85" workbookViewId="0">
      <selection activeCell="I43" sqref="I43:J141"/>
    </sheetView>
  </sheetViews>
  <sheetFormatPr defaultColWidth="8.85546875" defaultRowHeight="12.75"/>
  <cols>
    <col min="1" max="4" width="17.85546875" customWidth="1"/>
    <col min="5" max="5" width="18.28515625" customWidth="1"/>
    <col min="6" max="8" width="17.85546875" customWidth="1"/>
    <col min="9" max="9" width="20.85546875" customWidth="1"/>
    <col min="10" max="10" width="19.28515625" customWidth="1"/>
    <col min="11" max="11" width="17.85546875" customWidth="1"/>
  </cols>
  <sheetData>
    <row r="42" spans="1:11">
      <c r="A42" s="15" t="s">
        <v>0</v>
      </c>
      <c r="B42" s="15" t="s">
        <v>1</v>
      </c>
      <c r="C42" s="15" t="s">
        <v>2</v>
      </c>
      <c r="D42" s="15" t="s">
        <v>3</v>
      </c>
      <c r="E42" s="15" t="s">
        <v>4</v>
      </c>
      <c r="F42" s="15" t="s">
        <v>5</v>
      </c>
      <c r="G42" s="15" t="s">
        <v>6</v>
      </c>
      <c r="H42" s="15" t="s">
        <v>24</v>
      </c>
      <c r="I42" s="15" t="s">
        <v>25</v>
      </c>
      <c r="J42" s="15" t="s">
        <v>26</v>
      </c>
      <c r="K42" s="15" t="s">
        <v>27</v>
      </c>
    </row>
    <row r="43" spans="1:11">
      <c r="A43">
        <v>1</v>
      </c>
      <c r="B43" t="s">
        <v>7</v>
      </c>
      <c r="C43">
        <v>2</v>
      </c>
      <c r="D43" t="s">
        <v>8</v>
      </c>
      <c r="E43">
        <v>8500</v>
      </c>
      <c r="F43" t="s">
        <v>9</v>
      </c>
      <c r="G43" t="s">
        <v>10</v>
      </c>
      <c r="H43">
        <f>E43*0.71</f>
        <v>6035</v>
      </c>
      <c r="I43" s="16">
        <f>(H43 - AVERAGE($H$43:$H$141)) / _xlfn.STDEV.S($H$43:$H$141)</f>
        <v>-0.72631583853103754</v>
      </c>
      <c r="J43" s="16">
        <f>(C43 - AVERAGE($C$43:$C$141)) / _xlfn.STDEV.S($C$43:$C$141)</f>
        <v>-0.8325092421117225</v>
      </c>
      <c r="K43" t="str">
        <f>IF(B43="Junior Data Scientist","Junior",IF(B43="Developer","Mid","Senior"))</f>
        <v>Mid</v>
      </c>
    </row>
    <row r="44" spans="1:11">
      <c r="A44">
        <v>2</v>
      </c>
      <c r="B44" t="s">
        <v>11</v>
      </c>
      <c r="C44">
        <v>7</v>
      </c>
      <c r="D44" t="s">
        <v>12</v>
      </c>
      <c r="E44">
        <v>15200</v>
      </c>
      <c r="F44" t="s">
        <v>13</v>
      </c>
      <c r="G44" t="s">
        <v>10</v>
      </c>
      <c r="H44">
        <f t="shared" ref="H44:H107" si="0">E44*0.71</f>
        <v>10792</v>
      </c>
      <c r="I44" s="16">
        <f t="shared" ref="I44:I107" si="1">(H44 - AVERAGE($H$43:$H$141)) / _xlfn.STDEV.S($H$43:$H$141)</f>
        <v>0.35242418766161188</v>
      </c>
      <c r="J44" s="16">
        <f t="shared" ref="J44:J107" si="2">(C44 - AVERAGE($C$43:$C$141)) / _xlfn.STDEV.S($C$43:$C$141)</f>
        <v>0.45931544392370893</v>
      </c>
      <c r="K44" t="str">
        <f>IF(B44="Junior Data Scientist","Junior",IF(B44="Developer","Mid","Senior"))</f>
        <v>Senior</v>
      </c>
    </row>
    <row r="45" spans="1:11">
      <c r="A45">
        <v>3</v>
      </c>
      <c r="B45" t="s">
        <v>7</v>
      </c>
      <c r="C45">
        <v>3</v>
      </c>
      <c r="D45" t="s">
        <v>14</v>
      </c>
      <c r="E45">
        <v>9200</v>
      </c>
      <c r="F45" t="s">
        <v>15</v>
      </c>
      <c r="G45" t="s">
        <v>16</v>
      </c>
      <c r="H45">
        <f t="shared" si="0"/>
        <v>6532</v>
      </c>
      <c r="I45" s="16">
        <f t="shared" si="1"/>
        <v>-0.6136116566900145</v>
      </c>
      <c r="J45" s="16">
        <f t="shared" si="2"/>
        <v>-0.57414430490463619</v>
      </c>
      <c r="K45" t="str">
        <f t="shared" ref="K45:K108" si="3">IF(B45="Junior Data Scientist","Junior",IF(B45="Developer","Mid","Senior"))</f>
        <v>Mid</v>
      </c>
    </row>
    <row r="46" spans="1:11">
      <c r="A46">
        <v>4</v>
      </c>
      <c r="B46" t="s">
        <v>17</v>
      </c>
      <c r="C46">
        <v>1</v>
      </c>
      <c r="D46" t="s">
        <v>8</v>
      </c>
      <c r="E46">
        <v>6200</v>
      </c>
      <c r="F46" t="s">
        <v>9</v>
      </c>
      <c r="G46" t="s">
        <v>10</v>
      </c>
      <c r="H46">
        <f t="shared" si="0"/>
        <v>4402</v>
      </c>
      <c r="I46" s="16">
        <f t="shared" si="1"/>
        <v>-1.0966295788658278</v>
      </c>
      <c r="J46" s="16">
        <f t="shared" si="2"/>
        <v>-1.0908741793188088</v>
      </c>
      <c r="K46" t="str">
        <f t="shared" si="3"/>
        <v>Junior</v>
      </c>
    </row>
    <row r="47" spans="1:11">
      <c r="A47">
        <v>5</v>
      </c>
      <c r="B47" t="s">
        <v>7</v>
      </c>
      <c r="C47">
        <v>4</v>
      </c>
      <c r="D47" t="s">
        <v>18</v>
      </c>
      <c r="E47">
        <v>10800</v>
      </c>
      <c r="F47" t="s">
        <v>15</v>
      </c>
      <c r="G47" t="s">
        <v>10</v>
      </c>
      <c r="H47">
        <f t="shared" si="0"/>
        <v>7668</v>
      </c>
      <c r="I47" s="16">
        <f t="shared" si="1"/>
        <v>-0.35600209819624745</v>
      </c>
      <c r="J47" s="16">
        <f t="shared" si="2"/>
        <v>-0.31577936769754994</v>
      </c>
      <c r="K47" t="str">
        <f t="shared" si="3"/>
        <v>Mid</v>
      </c>
    </row>
    <row r="48" spans="1:11">
      <c r="A48">
        <v>6</v>
      </c>
      <c r="B48" t="s">
        <v>19</v>
      </c>
      <c r="C48">
        <v>10</v>
      </c>
      <c r="D48" t="s">
        <v>8</v>
      </c>
      <c r="E48">
        <v>22500</v>
      </c>
      <c r="F48" t="s">
        <v>13</v>
      </c>
      <c r="G48" t="s">
        <v>10</v>
      </c>
      <c r="H48">
        <f t="shared" si="0"/>
        <v>15975</v>
      </c>
      <c r="I48" s="16">
        <f t="shared" si="1"/>
        <v>1.527767798289424</v>
      </c>
      <c r="J48" s="16">
        <f t="shared" si="2"/>
        <v>1.2344102555449679</v>
      </c>
      <c r="K48" t="str">
        <f t="shared" si="3"/>
        <v>Senior</v>
      </c>
    </row>
    <row r="49" spans="1:11">
      <c r="A49">
        <v>7</v>
      </c>
      <c r="B49" t="s">
        <v>11</v>
      </c>
      <c r="C49">
        <v>6</v>
      </c>
      <c r="D49" t="s">
        <v>14</v>
      </c>
      <c r="E49">
        <v>14100</v>
      </c>
      <c r="F49" t="s">
        <v>13</v>
      </c>
      <c r="G49" t="s">
        <v>10</v>
      </c>
      <c r="H49">
        <f t="shared" si="0"/>
        <v>10011</v>
      </c>
      <c r="I49" s="16">
        <f t="shared" si="1"/>
        <v>0.17531761619714706</v>
      </c>
      <c r="J49" s="16">
        <f t="shared" si="2"/>
        <v>0.20095050671662265</v>
      </c>
      <c r="K49" t="str">
        <f t="shared" si="3"/>
        <v>Senior</v>
      </c>
    </row>
    <row r="50" spans="1:11">
      <c r="A50">
        <v>8</v>
      </c>
      <c r="B50" t="s">
        <v>7</v>
      </c>
      <c r="C50">
        <v>3</v>
      </c>
      <c r="D50" t="s">
        <v>12</v>
      </c>
      <c r="E50">
        <v>9800</v>
      </c>
      <c r="F50" t="s">
        <v>15</v>
      </c>
      <c r="G50" t="s">
        <v>16</v>
      </c>
      <c r="H50">
        <f t="shared" si="0"/>
        <v>6958</v>
      </c>
      <c r="I50" s="16">
        <f t="shared" si="1"/>
        <v>-0.5170080722548519</v>
      </c>
      <c r="J50" s="16">
        <f t="shared" si="2"/>
        <v>-0.57414430490463619</v>
      </c>
      <c r="K50" t="str">
        <f t="shared" si="3"/>
        <v>Mid</v>
      </c>
    </row>
    <row r="51" spans="1:11">
      <c r="A51">
        <v>9</v>
      </c>
      <c r="B51" t="s">
        <v>17</v>
      </c>
      <c r="C51">
        <v>1</v>
      </c>
      <c r="D51" t="s">
        <v>12</v>
      </c>
      <c r="E51">
        <v>5900</v>
      </c>
      <c r="F51" t="s">
        <v>9</v>
      </c>
      <c r="G51" t="s">
        <v>16</v>
      </c>
      <c r="H51">
        <f t="shared" si="0"/>
        <v>4189</v>
      </c>
      <c r="I51" s="16">
        <f t="shared" si="1"/>
        <v>-1.144931371083409</v>
      </c>
      <c r="J51" s="16">
        <f t="shared" si="2"/>
        <v>-1.0908741793188088</v>
      </c>
      <c r="K51" t="str">
        <f t="shared" si="3"/>
        <v>Junior</v>
      </c>
    </row>
    <row r="52" spans="1:11">
      <c r="A52">
        <v>10</v>
      </c>
      <c r="B52" t="s">
        <v>7</v>
      </c>
      <c r="C52">
        <v>5</v>
      </c>
      <c r="D52" t="s">
        <v>8</v>
      </c>
      <c r="E52">
        <v>12300</v>
      </c>
      <c r="F52" t="s">
        <v>15</v>
      </c>
      <c r="G52" t="s">
        <v>10</v>
      </c>
      <c r="H52">
        <f t="shared" si="0"/>
        <v>8733</v>
      </c>
      <c r="I52" s="16">
        <f t="shared" si="1"/>
        <v>-0.11449313710834086</v>
      </c>
      <c r="J52" s="16">
        <f t="shared" si="2"/>
        <v>-5.7414430490463644E-2</v>
      </c>
      <c r="K52" t="str">
        <f t="shared" si="3"/>
        <v>Mid</v>
      </c>
    </row>
    <row r="53" spans="1:11">
      <c r="A53">
        <v>11</v>
      </c>
      <c r="B53" t="s">
        <v>19</v>
      </c>
      <c r="C53">
        <v>12</v>
      </c>
      <c r="D53" t="s">
        <v>12</v>
      </c>
      <c r="E53">
        <v>24800</v>
      </c>
      <c r="F53" t="s">
        <v>13</v>
      </c>
      <c r="G53" t="s">
        <v>10</v>
      </c>
      <c r="H53">
        <f t="shared" si="0"/>
        <v>17608</v>
      </c>
      <c r="I53" s="16">
        <f t="shared" si="1"/>
        <v>1.8980815386242142</v>
      </c>
      <c r="J53" s="16">
        <f t="shared" si="2"/>
        <v>1.7511401299591405</v>
      </c>
      <c r="K53" t="str">
        <f t="shared" si="3"/>
        <v>Senior</v>
      </c>
    </row>
    <row r="54" spans="1:11">
      <c r="A54">
        <v>12</v>
      </c>
      <c r="B54" t="s">
        <v>11</v>
      </c>
      <c r="C54">
        <v>8</v>
      </c>
      <c r="D54" t="s">
        <v>18</v>
      </c>
      <c r="E54">
        <v>16700</v>
      </c>
      <c r="F54" t="s">
        <v>13</v>
      </c>
      <c r="G54" t="s">
        <v>10</v>
      </c>
      <c r="H54">
        <f t="shared" si="0"/>
        <v>11857</v>
      </c>
      <c r="I54" s="16">
        <f t="shared" si="1"/>
        <v>0.59393314874951852</v>
      </c>
      <c r="J54" s="16">
        <f t="shared" si="2"/>
        <v>0.71768038113079524</v>
      </c>
      <c r="K54" t="str">
        <f t="shared" si="3"/>
        <v>Senior</v>
      </c>
    </row>
    <row r="55" spans="1:11">
      <c r="A55">
        <v>13</v>
      </c>
      <c r="B55" t="s">
        <v>7</v>
      </c>
      <c r="C55">
        <v>2</v>
      </c>
      <c r="D55" t="s">
        <v>14</v>
      </c>
      <c r="E55">
        <v>8200</v>
      </c>
      <c r="F55" t="s">
        <v>9</v>
      </c>
      <c r="G55" t="s">
        <v>16</v>
      </c>
      <c r="H55">
        <f t="shared" si="0"/>
        <v>5822</v>
      </c>
      <c r="I55" s="16">
        <f t="shared" si="1"/>
        <v>-0.77461763074861889</v>
      </c>
      <c r="J55" s="16">
        <f t="shared" si="2"/>
        <v>-0.8325092421117225</v>
      </c>
      <c r="K55" t="str">
        <f t="shared" si="3"/>
        <v>Mid</v>
      </c>
    </row>
    <row r="56" spans="1:11">
      <c r="A56">
        <v>14</v>
      </c>
      <c r="B56" t="s">
        <v>17</v>
      </c>
      <c r="C56">
        <v>1</v>
      </c>
      <c r="D56" t="s">
        <v>14</v>
      </c>
      <c r="E56">
        <v>6500</v>
      </c>
      <c r="F56" t="s">
        <v>15</v>
      </c>
      <c r="G56" t="s">
        <v>10</v>
      </c>
      <c r="H56">
        <f t="shared" si="0"/>
        <v>4615</v>
      </c>
      <c r="I56" s="16">
        <f t="shared" si="1"/>
        <v>-1.0483277866482463</v>
      </c>
      <c r="J56" s="16">
        <f t="shared" si="2"/>
        <v>-1.0908741793188088</v>
      </c>
      <c r="K56" t="str">
        <f t="shared" si="3"/>
        <v>Junior</v>
      </c>
    </row>
    <row r="57" spans="1:11">
      <c r="A57">
        <v>15</v>
      </c>
      <c r="B57" t="s">
        <v>7</v>
      </c>
      <c r="C57">
        <v>4</v>
      </c>
      <c r="D57" t="s">
        <v>12</v>
      </c>
      <c r="E57">
        <v>11200</v>
      </c>
      <c r="F57" t="s">
        <v>15</v>
      </c>
      <c r="G57" t="s">
        <v>10</v>
      </c>
      <c r="H57">
        <f t="shared" si="0"/>
        <v>7952</v>
      </c>
      <c r="I57" s="16">
        <f t="shared" si="1"/>
        <v>-0.2915997085728057</v>
      </c>
      <c r="J57" s="16">
        <f t="shared" si="2"/>
        <v>-0.31577936769754994</v>
      </c>
      <c r="K57" t="str">
        <f t="shared" si="3"/>
        <v>Mid</v>
      </c>
    </row>
    <row r="58" spans="1:11">
      <c r="A58">
        <v>16</v>
      </c>
      <c r="B58" t="s">
        <v>11</v>
      </c>
      <c r="C58">
        <v>9</v>
      </c>
      <c r="D58" t="s">
        <v>8</v>
      </c>
      <c r="E58">
        <v>17500</v>
      </c>
      <c r="F58" t="s">
        <v>13</v>
      </c>
      <c r="G58" t="s">
        <v>10</v>
      </c>
      <c r="H58">
        <f t="shared" si="0"/>
        <v>12425</v>
      </c>
      <c r="I58" s="16">
        <f t="shared" si="1"/>
        <v>0.72273792799640202</v>
      </c>
      <c r="J58" s="16">
        <f t="shared" si="2"/>
        <v>0.97604531833788155</v>
      </c>
      <c r="K58" t="str">
        <f t="shared" si="3"/>
        <v>Senior</v>
      </c>
    </row>
    <row r="59" spans="1:11">
      <c r="A59">
        <v>17</v>
      </c>
      <c r="B59" t="s">
        <v>7</v>
      </c>
      <c r="C59">
        <v>3</v>
      </c>
      <c r="D59" t="s">
        <v>18</v>
      </c>
      <c r="E59">
        <v>9500</v>
      </c>
      <c r="F59" t="s">
        <v>9</v>
      </c>
      <c r="G59" t="s">
        <v>16</v>
      </c>
      <c r="H59">
        <f t="shared" si="0"/>
        <v>6745</v>
      </c>
      <c r="I59" s="16">
        <f t="shared" si="1"/>
        <v>-0.56530986447243314</v>
      </c>
      <c r="J59" s="16">
        <f t="shared" si="2"/>
        <v>-0.57414430490463619</v>
      </c>
      <c r="K59" t="str">
        <f t="shared" si="3"/>
        <v>Mid</v>
      </c>
    </row>
    <row r="60" spans="1:11">
      <c r="A60">
        <v>18</v>
      </c>
      <c r="B60" t="s">
        <v>19</v>
      </c>
      <c r="C60">
        <v>11</v>
      </c>
      <c r="D60" t="s">
        <v>14</v>
      </c>
      <c r="E60">
        <v>23200</v>
      </c>
      <c r="F60" t="s">
        <v>13</v>
      </c>
      <c r="G60" t="s">
        <v>10</v>
      </c>
      <c r="H60">
        <f t="shared" si="0"/>
        <v>16472</v>
      </c>
      <c r="I60" s="16">
        <f t="shared" si="1"/>
        <v>1.640471980130447</v>
      </c>
      <c r="J60" s="16">
        <f t="shared" si="2"/>
        <v>1.4927751927520541</v>
      </c>
      <c r="K60" t="str">
        <f t="shared" si="3"/>
        <v>Senior</v>
      </c>
    </row>
    <row r="61" spans="1:11">
      <c r="A61">
        <v>19</v>
      </c>
      <c r="B61" t="s">
        <v>7</v>
      </c>
      <c r="C61">
        <v>2</v>
      </c>
      <c r="D61" t="s">
        <v>12</v>
      </c>
      <c r="E61">
        <v>8800</v>
      </c>
      <c r="F61" t="s">
        <v>15</v>
      </c>
      <c r="G61" t="s">
        <v>10</v>
      </c>
      <c r="H61">
        <f t="shared" si="0"/>
        <v>6248</v>
      </c>
      <c r="I61" s="16">
        <f t="shared" si="1"/>
        <v>-0.6780140463134563</v>
      </c>
      <c r="J61" s="16">
        <f t="shared" si="2"/>
        <v>-0.8325092421117225</v>
      </c>
      <c r="K61" t="str">
        <f t="shared" si="3"/>
        <v>Mid</v>
      </c>
    </row>
    <row r="62" spans="1:11">
      <c r="A62">
        <v>20</v>
      </c>
      <c r="B62" t="s">
        <v>17</v>
      </c>
      <c r="C62">
        <v>0.5</v>
      </c>
      <c r="D62" s="3" t="s">
        <v>18</v>
      </c>
      <c r="E62">
        <v>5500</v>
      </c>
      <c r="F62" t="s">
        <v>9</v>
      </c>
      <c r="G62" t="s">
        <v>16</v>
      </c>
      <c r="H62">
        <f t="shared" si="0"/>
        <v>3905</v>
      </c>
      <c r="I62" s="16">
        <f t="shared" si="1"/>
        <v>-1.2093337607068508</v>
      </c>
      <c r="J62" s="16">
        <f t="shared" si="2"/>
        <v>-1.220056647922352</v>
      </c>
      <c r="K62" t="str">
        <f t="shared" si="3"/>
        <v>Junior</v>
      </c>
    </row>
    <row r="63" spans="1:11">
      <c r="A63">
        <v>21</v>
      </c>
      <c r="B63" t="s">
        <v>11</v>
      </c>
      <c r="C63">
        <v>7</v>
      </c>
      <c r="D63" t="s">
        <v>12</v>
      </c>
      <c r="E63">
        <v>15800</v>
      </c>
      <c r="F63" t="s">
        <v>13</v>
      </c>
      <c r="G63" t="s">
        <v>10</v>
      </c>
      <c r="H63">
        <f t="shared" si="0"/>
        <v>11218</v>
      </c>
      <c r="I63" s="16">
        <f t="shared" si="1"/>
        <v>0.44902777209677452</v>
      </c>
      <c r="J63" s="16">
        <f t="shared" si="2"/>
        <v>0.45931544392370893</v>
      </c>
      <c r="K63" t="str">
        <f t="shared" si="3"/>
        <v>Senior</v>
      </c>
    </row>
    <row r="64" spans="1:11">
      <c r="A64">
        <v>22</v>
      </c>
      <c r="B64" t="s">
        <v>7</v>
      </c>
      <c r="C64">
        <v>5</v>
      </c>
      <c r="D64" t="s">
        <v>14</v>
      </c>
      <c r="E64">
        <v>12700</v>
      </c>
      <c r="F64" t="s">
        <v>15</v>
      </c>
      <c r="G64" t="s">
        <v>10</v>
      </c>
      <c r="H64">
        <f t="shared" si="0"/>
        <v>9017</v>
      </c>
      <c r="I64" s="16">
        <f t="shared" si="1"/>
        <v>-5.0090747484899098E-2</v>
      </c>
      <c r="J64" s="16">
        <f t="shared" si="2"/>
        <v>-5.7414430490463644E-2</v>
      </c>
      <c r="K64" t="str">
        <f t="shared" si="3"/>
        <v>Mid</v>
      </c>
    </row>
    <row r="65" spans="1:11">
      <c r="A65">
        <v>23</v>
      </c>
      <c r="B65" t="s">
        <v>7</v>
      </c>
      <c r="C65">
        <v>3</v>
      </c>
      <c r="D65" t="s">
        <v>8</v>
      </c>
      <c r="E65">
        <v>9600</v>
      </c>
      <c r="F65" t="s">
        <v>15</v>
      </c>
      <c r="G65" t="s">
        <v>16</v>
      </c>
      <c r="H65">
        <f t="shared" si="0"/>
        <v>6816</v>
      </c>
      <c r="I65" s="16">
        <f t="shared" si="1"/>
        <v>-0.54920926706657269</v>
      </c>
      <c r="J65" s="16">
        <f t="shared" si="2"/>
        <v>-0.57414430490463619</v>
      </c>
      <c r="K65" t="str">
        <f t="shared" si="3"/>
        <v>Mid</v>
      </c>
    </row>
    <row r="66" spans="1:11">
      <c r="A66">
        <v>24</v>
      </c>
      <c r="B66" t="s">
        <v>19</v>
      </c>
      <c r="C66">
        <v>13</v>
      </c>
      <c r="D66" t="s">
        <v>18</v>
      </c>
      <c r="E66">
        <v>25500</v>
      </c>
      <c r="F66" t="s">
        <v>13</v>
      </c>
      <c r="G66" t="s">
        <v>10</v>
      </c>
      <c r="H66">
        <f t="shared" si="0"/>
        <v>18105</v>
      </c>
      <c r="I66" s="16">
        <f t="shared" si="1"/>
        <v>2.0107857204652371</v>
      </c>
      <c r="J66" s="16">
        <f t="shared" si="2"/>
        <v>2.0095050671662267</v>
      </c>
      <c r="K66" t="str">
        <f t="shared" si="3"/>
        <v>Senior</v>
      </c>
    </row>
    <row r="67" spans="1:11">
      <c r="A67">
        <v>25</v>
      </c>
      <c r="B67" t="s">
        <v>17</v>
      </c>
      <c r="C67">
        <v>1</v>
      </c>
      <c r="D67" t="s">
        <v>12</v>
      </c>
      <c r="E67">
        <v>6100</v>
      </c>
      <c r="F67" t="s">
        <v>9</v>
      </c>
      <c r="G67" t="s">
        <v>16</v>
      </c>
      <c r="H67">
        <f t="shared" si="0"/>
        <v>4331</v>
      </c>
      <c r="I67" s="16">
        <f t="shared" si="1"/>
        <v>-1.1127301762716881</v>
      </c>
      <c r="J67" s="16">
        <f t="shared" si="2"/>
        <v>-1.0908741793188088</v>
      </c>
      <c r="K67" t="str">
        <f t="shared" si="3"/>
        <v>Junior</v>
      </c>
    </row>
    <row r="68" spans="1:11">
      <c r="A68">
        <v>26</v>
      </c>
      <c r="B68" t="s">
        <v>11</v>
      </c>
      <c r="C68">
        <v>8</v>
      </c>
      <c r="D68" t="s">
        <v>14</v>
      </c>
      <c r="E68">
        <v>16200</v>
      </c>
      <c r="F68" t="s">
        <v>13</v>
      </c>
      <c r="G68" t="s">
        <v>10</v>
      </c>
      <c r="H68">
        <f t="shared" si="0"/>
        <v>11502</v>
      </c>
      <c r="I68" s="16">
        <f t="shared" si="1"/>
        <v>0.51343016172021627</v>
      </c>
      <c r="J68" s="16">
        <f t="shared" si="2"/>
        <v>0.71768038113079524</v>
      </c>
      <c r="K68" t="str">
        <f t="shared" si="3"/>
        <v>Senior</v>
      </c>
    </row>
    <row r="69" spans="1:11">
      <c r="A69">
        <v>27</v>
      </c>
      <c r="B69" t="s">
        <v>7</v>
      </c>
      <c r="C69">
        <v>4</v>
      </c>
      <c r="D69" t="s">
        <v>8</v>
      </c>
      <c r="E69">
        <v>10500</v>
      </c>
      <c r="F69" t="s">
        <v>15</v>
      </c>
      <c r="G69" t="s">
        <v>10</v>
      </c>
      <c r="H69">
        <f t="shared" si="0"/>
        <v>7455</v>
      </c>
      <c r="I69" s="16">
        <f t="shared" si="1"/>
        <v>-0.4043038904138288</v>
      </c>
      <c r="J69" s="16">
        <f t="shared" si="2"/>
        <v>-0.31577936769754994</v>
      </c>
      <c r="K69" t="str">
        <f t="shared" si="3"/>
        <v>Mid</v>
      </c>
    </row>
    <row r="70" spans="1:11">
      <c r="A70">
        <v>28</v>
      </c>
      <c r="B70" t="s">
        <v>7</v>
      </c>
      <c r="C70">
        <v>2</v>
      </c>
      <c r="D70" t="s">
        <v>18</v>
      </c>
      <c r="E70">
        <v>8400</v>
      </c>
      <c r="F70" t="s">
        <v>9</v>
      </c>
      <c r="G70" t="s">
        <v>16</v>
      </c>
      <c r="H70">
        <f t="shared" si="0"/>
        <v>5964</v>
      </c>
      <c r="I70" s="16">
        <f t="shared" si="1"/>
        <v>-0.74241643593689799</v>
      </c>
      <c r="J70" s="16">
        <f t="shared" si="2"/>
        <v>-0.8325092421117225</v>
      </c>
      <c r="K70" t="str">
        <f t="shared" si="3"/>
        <v>Mid</v>
      </c>
    </row>
    <row r="71" spans="1:11">
      <c r="A71">
        <v>29</v>
      </c>
      <c r="B71" t="s">
        <v>11</v>
      </c>
      <c r="C71">
        <v>6</v>
      </c>
      <c r="D71" t="s">
        <v>12</v>
      </c>
      <c r="E71">
        <v>14500</v>
      </c>
      <c r="F71" t="s">
        <v>13</v>
      </c>
      <c r="G71" t="s">
        <v>10</v>
      </c>
      <c r="H71">
        <f t="shared" si="0"/>
        <v>10295</v>
      </c>
      <c r="I71" s="16">
        <f t="shared" si="1"/>
        <v>0.23972000582058881</v>
      </c>
      <c r="J71" s="16">
        <f t="shared" si="2"/>
        <v>0.20095050671662265</v>
      </c>
      <c r="K71" t="str">
        <f t="shared" si="3"/>
        <v>Senior</v>
      </c>
    </row>
    <row r="72" spans="1:11">
      <c r="A72">
        <v>30</v>
      </c>
      <c r="B72" t="s">
        <v>7</v>
      </c>
      <c r="C72">
        <v>3</v>
      </c>
      <c r="D72" t="s">
        <v>14</v>
      </c>
      <c r="E72">
        <v>9300</v>
      </c>
      <c r="F72" t="s">
        <v>15</v>
      </c>
      <c r="G72" t="s">
        <v>10</v>
      </c>
      <c r="H72">
        <f t="shared" si="0"/>
        <v>6603</v>
      </c>
      <c r="I72" s="16">
        <f t="shared" si="1"/>
        <v>-0.59751105928415404</v>
      </c>
      <c r="J72" s="16">
        <f t="shared" si="2"/>
        <v>-0.57414430490463619</v>
      </c>
      <c r="K72" t="str">
        <f t="shared" si="3"/>
        <v>Mid</v>
      </c>
    </row>
    <row r="73" spans="1:11">
      <c r="A73">
        <v>32</v>
      </c>
      <c r="B73" t="s">
        <v>17</v>
      </c>
      <c r="C73">
        <v>1</v>
      </c>
      <c r="D73" t="s">
        <v>14</v>
      </c>
      <c r="E73">
        <v>6400</v>
      </c>
      <c r="F73" t="s">
        <v>9</v>
      </c>
      <c r="G73" t="s">
        <v>10</v>
      </c>
      <c r="H73">
        <f t="shared" si="0"/>
        <v>4544</v>
      </c>
      <c r="I73" s="16">
        <f t="shared" si="1"/>
        <v>-1.0644283840541069</v>
      </c>
      <c r="J73" s="16">
        <f t="shared" si="2"/>
        <v>-1.0908741793188088</v>
      </c>
      <c r="K73" t="str">
        <f t="shared" si="3"/>
        <v>Junior</v>
      </c>
    </row>
    <row r="74" spans="1:11">
      <c r="A74">
        <v>33</v>
      </c>
      <c r="B74" t="s">
        <v>7</v>
      </c>
      <c r="C74">
        <v>5</v>
      </c>
      <c r="D74" t="s">
        <v>12</v>
      </c>
      <c r="E74">
        <v>11800</v>
      </c>
      <c r="F74" t="s">
        <v>15</v>
      </c>
      <c r="G74" t="s">
        <v>10</v>
      </c>
      <c r="H74">
        <f t="shared" si="0"/>
        <v>8378</v>
      </c>
      <c r="I74" s="16">
        <f t="shared" si="1"/>
        <v>-0.19499612413764306</v>
      </c>
      <c r="J74" s="16">
        <f t="shared" si="2"/>
        <v>-5.7414430490463644E-2</v>
      </c>
      <c r="K74" t="str">
        <f t="shared" si="3"/>
        <v>Mid</v>
      </c>
    </row>
    <row r="75" spans="1:11">
      <c r="A75">
        <v>34</v>
      </c>
      <c r="B75" t="s">
        <v>11</v>
      </c>
      <c r="C75">
        <v>9</v>
      </c>
      <c r="D75" t="s">
        <v>18</v>
      </c>
      <c r="E75">
        <v>17200</v>
      </c>
      <c r="F75" t="s">
        <v>13</v>
      </c>
      <c r="G75" t="s">
        <v>10</v>
      </c>
      <c r="H75">
        <f t="shared" si="0"/>
        <v>12212</v>
      </c>
      <c r="I75" s="16">
        <f t="shared" si="1"/>
        <v>0.67443613577882067</v>
      </c>
      <c r="J75" s="16">
        <f t="shared" si="2"/>
        <v>0.97604531833788155</v>
      </c>
      <c r="K75" t="str">
        <f t="shared" si="3"/>
        <v>Senior</v>
      </c>
    </row>
    <row r="76" spans="1:11">
      <c r="A76">
        <v>35</v>
      </c>
      <c r="B76" t="s">
        <v>7</v>
      </c>
      <c r="C76">
        <v>2</v>
      </c>
      <c r="D76" t="s">
        <v>8</v>
      </c>
      <c r="E76">
        <v>8600</v>
      </c>
      <c r="F76" t="s">
        <v>9</v>
      </c>
      <c r="G76" t="s">
        <v>16</v>
      </c>
      <c r="H76">
        <f t="shared" si="0"/>
        <v>6106</v>
      </c>
      <c r="I76" s="16">
        <f t="shared" si="1"/>
        <v>-0.71021524112517709</v>
      </c>
      <c r="J76" s="16">
        <f t="shared" si="2"/>
        <v>-0.8325092421117225</v>
      </c>
      <c r="K76" t="str">
        <f t="shared" si="3"/>
        <v>Mid</v>
      </c>
    </row>
    <row r="77" spans="1:11">
      <c r="A77">
        <v>36</v>
      </c>
      <c r="B77" t="s">
        <v>7</v>
      </c>
      <c r="C77">
        <v>4</v>
      </c>
      <c r="D77" t="s">
        <v>14</v>
      </c>
      <c r="E77">
        <v>10200</v>
      </c>
      <c r="F77" t="s">
        <v>15</v>
      </c>
      <c r="G77" t="s">
        <v>10</v>
      </c>
      <c r="H77">
        <f t="shared" si="0"/>
        <v>7242</v>
      </c>
      <c r="I77" s="16">
        <f t="shared" si="1"/>
        <v>-0.4526056826314101</v>
      </c>
      <c r="J77" s="16">
        <f t="shared" si="2"/>
        <v>-0.31577936769754994</v>
      </c>
      <c r="K77" t="str">
        <f t="shared" si="3"/>
        <v>Mid</v>
      </c>
    </row>
    <row r="78" spans="1:11">
      <c r="A78">
        <v>37</v>
      </c>
      <c r="B78" t="s">
        <v>17</v>
      </c>
      <c r="C78">
        <v>1</v>
      </c>
      <c r="D78" t="s">
        <v>12</v>
      </c>
      <c r="E78">
        <v>5800</v>
      </c>
      <c r="F78" t="s">
        <v>9</v>
      </c>
      <c r="G78" t="s">
        <v>16</v>
      </c>
      <c r="H78">
        <f t="shared" si="0"/>
        <v>4118</v>
      </c>
      <c r="I78" s="16">
        <f t="shared" si="1"/>
        <v>-1.1610319684892694</v>
      </c>
      <c r="J78" s="16">
        <f t="shared" si="2"/>
        <v>-1.0908741793188088</v>
      </c>
      <c r="K78" t="str">
        <f t="shared" si="3"/>
        <v>Junior</v>
      </c>
    </row>
    <row r="79" spans="1:11">
      <c r="A79">
        <v>38</v>
      </c>
      <c r="B79" t="s">
        <v>19</v>
      </c>
      <c r="C79">
        <v>11</v>
      </c>
      <c r="D79" t="s">
        <v>14</v>
      </c>
      <c r="E79">
        <v>23800</v>
      </c>
      <c r="F79" t="s">
        <v>13</v>
      </c>
      <c r="G79" t="s">
        <v>10</v>
      </c>
      <c r="H79">
        <f t="shared" si="0"/>
        <v>16898</v>
      </c>
      <c r="I79" s="16">
        <f t="shared" si="1"/>
        <v>1.7370755645656097</v>
      </c>
      <c r="J79" s="16">
        <f t="shared" si="2"/>
        <v>1.4927751927520541</v>
      </c>
      <c r="K79" t="str">
        <f t="shared" si="3"/>
        <v>Senior</v>
      </c>
    </row>
    <row r="80" spans="1:11">
      <c r="A80">
        <v>39</v>
      </c>
      <c r="B80" t="s">
        <v>7</v>
      </c>
      <c r="C80">
        <v>3</v>
      </c>
      <c r="D80" t="s">
        <v>18</v>
      </c>
      <c r="E80">
        <v>9700</v>
      </c>
      <c r="F80" t="s">
        <v>15</v>
      </c>
      <c r="G80" t="s">
        <v>16</v>
      </c>
      <c r="H80">
        <f t="shared" si="0"/>
        <v>6887</v>
      </c>
      <c r="I80" s="16">
        <f t="shared" si="1"/>
        <v>-0.53310866966071235</v>
      </c>
      <c r="J80" s="16">
        <f t="shared" si="2"/>
        <v>-0.57414430490463619</v>
      </c>
      <c r="K80" t="str">
        <f t="shared" si="3"/>
        <v>Mid</v>
      </c>
    </row>
    <row r="81" spans="1:11">
      <c r="A81">
        <v>40</v>
      </c>
      <c r="B81" t="s">
        <v>11</v>
      </c>
      <c r="C81">
        <v>7</v>
      </c>
      <c r="D81" t="s">
        <v>8</v>
      </c>
      <c r="E81">
        <v>15500</v>
      </c>
      <c r="F81" t="s">
        <v>13</v>
      </c>
      <c r="G81" t="s">
        <v>10</v>
      </c>
      <c r="H81">
        <f t="shared" si="0"/>
        <v>11005</v>
      </c>
      <c r="I81" s="16">
        <f t="shared" si="1"/>
        <v>0.40072597987919323</v>
      </c>
      <c r="J81" s="16">
        <f t="shared" si="2"/>
        <v>0.45931544392370893</v>
      </c>
      <c r="K81" t="str">
        <f t="shared" si="3"/>
        <v>Senior</v>
      </c>
    </row>
    <row r="82" spans="1:11">
      <c r="A82">
        <v>41</v>
      </c>
      <c r="B82" t="s">
        <v>7</v>
      </c>
      <c r="C82">
        <v>5</v>
      </c>
      <c r="D82" t="s">
        <v>12</v>
      </c>
      <c r="E82">
        <v>12100</v>
      </c>
      <c r="F82" t="s">
        <v>15</v>
      </c>
      <c r="G82" t="s">
        <v>10</v>
      </c>
      <c r="H82">
        <f t="shared" si="0"/>
        <v>8591</v>
      </c>
      <c r="I82" s="16">
        <f t="shared" si="1"/>
        <v>-0.14669433192006173</v>
      </c>
      <c r="J82" s="16">
        <f t="shared" si="2"/>
        <v>-5.7414430490463644E-2</v>
      </c>
      <c r="K82" t="str">
        <f t="shared" si="3"/>
        <v>Mid</v>
      </c>
    </row>
    <row r="83" spans="1:11">
      <c r="A83">
        <v>42</v>
      </c>
      <c r="B83" t="s">
        <v>7</v>
      </c>
      <c r="C83">
        <v>2</v>
      </c>
      <c r="D83" t="s">
        <v>14</v>
      </c>
      <c r="E83">
        <v>8300</v>
      </c>
      <c r="F83" t="s">
        <v>9</v>
      </c>
      <c r="G83" t="s">
        <v>16</v>
      </c>
      <c r="H83">
        <f t="shared" si="0"/>
        <v>5893</v>
      </c>
      <c r="I83" s="16">
        <f t="shared" si="1"/>
        <v>-0.75851703334275844</v>
      </c>
      <c r="J83" s="16">
        <f t="shared" si="2"/>
        <v>-0.8325092421117225</v>
      </c>
      <c r="K83" t="str">
        <f t="shared" si="3"/>
        <v>Mid</v>
      </c>
    </row>
    <row r="84" spans="1:11">
      <c r="A84">
        <v>43</v>
      </c>
      <c r="B84" t="s">
        <v>17</v>
      </c>
      <c r="C84">
        <v>0.5</v>
      </c>
      <c r="D84" s="3" t="s">
        <v>18</v>
      </c>
      <c r="E84">
        <v>5600</v>
      </c>
      <c r="F84" t="s">
        <v>9</v>
      </c>
      <c r="G84" t="s">
        <v>10</v>
      </c>
      <c r="H84">
        <f t="shared" si="0"/>
        <v>3976</v>
      </c>
      <c r="I84" s="16">
        <f t="shared" si="1"/>
        <v>-1.1932331633009903</v>
      </c>
      <c r="J84" s="16">
        <f t="shared" si="2"/>
        <v>-1.220056647922352</v>
      </c>
      <c r="K84" t="str">
        <f t="shared" si="3"/>
        <v>Junior</v>
      </c>
    </row>
    <row r="85" spans="1:11">
      <c r="A85">
        <v>44</v>
      </c>
      <c r="B85" t="s">
        <v>11</v>
      </c>
      <c r="C85">
        <v>8</v>
      </c>
      <c r="D85" t="s">
        <v>18</v>
      </c>
      <c r="E85">
        <v>16500</v>
      </c>
      <c r="F85" t="s">
        <v>13</v>
      </c>
      <c r="G85" t="s">
        <v>10</v>
      </c>
      <c r="H85">
        <f t="shared" si="0"/>
        <v>11715</v>
      </c>
      <c r="I85" s="16">
        <f t="shared" si="1"/>
        <v>0.56173195393779762</v>
      </c>
      <c r="J85" s="16">
        <f t="shared" si="2"/>
        <v>0.71768038113079524</v>
      </c>
      <c r="K85" t="str">
        <f t="shared" si="3"/>
        <v>Senior</v>
      </c>
    </row>
    <row r="86" spans="1:11">
      <c r="A86">
        <v>45</v>
      </c>
      <c r="B86" t="s">
        <v>7</v>
      </c>
      <c r="C86">
        <v>4</v>
      </c>
      <c r="D86" t="s">
        <v>12</v>
      </c>
      <c r="E86">
        <v>10900</v>
      </c>
      <c r="F86" t="s">
        <v>15</v>
      </c>
      <c r="G86" t="s">
        <v>10</v>
      </c>
      <c r="H86">
        <f t="shared" si="0"/>
        <v>7739</v>
      </c>
      <c r="I86" s="16">
        <f t="shared" si="1"/>
        <v>-0.339901500790387</v>
      </c>
      <c r="J86" s="16">
        <f t="shared" si="2"/>
        <v>-0.31577936769754994</v>
      </c>
      <c r="K86" t="str">
        <f t="shared" si="3"/>
        <v>Mid</v>
      </c>
    </row>
    <row r="87" spans="1:11">
      <c r="A87">
        <v>46</v>
      </c>
      <c r="B87" t="s">
        <v>19</v>
      </c>
      <c r="C87">
        <v>12</v>
      </c>
      <c r="D87" t="s">
        <v>12</v>
      </c>
      <c r="E87">
        <v>24500</v>
      </c>
      <c r="F87" t="s">
        <v>13</v>
      </c>
      <c r="G87" t="s">
        <v>10</v>
      </c>
      <c r="H87">
        <f t="shared" si="0"/>
        <v>17395</v>
      </c>
      <c r="I87" s="16">
        <f t="shared" si="1"/>
        <v>1.8497797464066328</v>
      </c>
      <c r="J87" s="16">
        <f t="shared" si="2"/>
        <v>1.7511401299591405</v>
      </c>
      <c r="K87" t="str">
        <f t="shared" si="3"/>
        <v>Senior</v>
      </c>
    </row>
    <row r="88" spans="1:11">
      <c r="A88">
        <v>47</v>
      </c>
      <c r="B88" t="s">
        <v>7</v>
      </c>
      <c r="C88">
        <v>3</v>
      </c>
      <c r="D88" t="s">
        <v>8</v>
      </c>
      <c r="E88">
        <v>9400</v>
      </c>
      <c r="F88" t="s">
        <v>15</v>
      </c>
      <c r="G88" t="s">
        <v>16</v>
      </c>
      <c r="H88">
        <f t="shared" si="0"/>
        <v>6674</v>
      </c>
      <c r="I88" s="16">
        <f t="shared" si="1"/>
        <v>-0.58141046187829359</v>
      </c>
      <c r="J88" s="16">
        <f t="shared" si="2"/>
        <v>-0.57414430490463619</v>
      </c>
      <c r="K88" t="str">
        <f t="shared" si="3"/>
        <v>Mid</v>
      </c>
    </row>
    <row r="89" spans="1:11">
      <c r="A89">
        <v>48</v>
      </c>
      <c r="B89" t="s">
        <v>7</v>
      </c>
      <c r="C89">
        <v>2</v>
      </c>
      <c r="D89" t="s">
        <v>18</v>
      </c>
      <c r="E89">
        <v>8700</v>
      </c>
      <c r="F89" t="s">
        <v>9</v>
      </c>
      <c r="G89" t="s">
        <v>16</v>
      </c>
      <c r="H89">
        <f t="shared" si="0"/>
        <v>6177</v>
      </c>
      <c r="I89" s="16">
        <f t="shared" si="1"/>
        <v>-0.69411464371931675</v>
      </c>
      <c r="J89" s="16">
        <f t="shared" si="2"/>
        <v>-0.8325092421117225</v>
      </c>
      <c r="K89" t="str">
        <f t="shared" si="3"/>
        <v>Mid</v>
      </c>
    </row>
    <row r="90" spans="1:11">
      <c r="A90">
        <v>49</v>
      </c>
      <c r="B90" t="s">
        <v>11</v>
      </c>
      <c r="C90">
        <v>6</v>
      </c>
      <c r="D90" t="s">
        <v>14</v>
      </c>
      <c r="E90">
        <v>14300</v>
      </c>
      <c r="F90" t="s">
        <v>13</v>
      </c>
      <c r="G90" t="s">
        <v>10</v>
      </c>
      <c r="H90">
        <f t="shared" si="0"/>
        <v>10153</v>
      </c>
      <c r="I90" s="16">
        <f t="shared" si="1"/>
        <v>0.20751881100886793</v>
      </c>
      <c r="J90" s="16">
        <f t="shared" si="2"/>
        <v>0.20095050671662265</v>
      </c>
      <c r="K90" t="str">
        <f t="shared" si="3"/>
        <v>Senior</v>
      </c>
    </row>
    <row r="91" spans="1:11">
      <c r="A91">
        <v>50</v>
      </c>
      <c r="B91" t="s">
        <v>7</v>
      </c>
      <c r="C91">
        <v>5</v>
      </c>
      <c r="D91" t="s">
        <v>8</v>
      </c>
      <c r="E91">
        <v>12500</v>
      </c>
      <c r="F91" t="s">
        <v>15</v>
      </c>
      <c r="G91" t="s">
        <v>10</v>
      </c>
      <c r="H91">
        <f t="shared" si="0"/>
        <v>8875</v>
      </c>
      <c r="I91" s="16">
        <f t="shared" si="1"/>
        <v>-8.2291942296619985E-2</v>
      </c>
      <c r="J91" s="16">
        <f t="shared" si="2"/>
        <v>-5.7414430490463644E-2</v>
      </c>
      <c r="K91" t="str">
        <f t="shared" si="3"/>
        <v>Mid</v>
      </c>
    </row>
    <row r="92" spans="1:11">
      <c r="A92">
        <v>51</v>
      </c>
      <c r="B92" t="s">
        <v>17</v>
      </c>
      <c r="C92">
        <v>1</v>
      </c>
      <c r="D92" t="s">
        <v>18</v>
      </c>
      <c r="E92">
        <v>6000</v>
      </c>
      <c r="F92" t="s">
        <v>9</v>
      </c>
      <c r="G92" t="s">
        <v>16</v>
      </c>
      <c r="H92">
        <f t="shared" si="0"/>
        <v>4260</v>
      </c>
      <c r="I92" s="16">
        <f t="shared" si="1"/>
        <v>-1.1288307736775485</v>
      </c>
      <c r="J92" s="16">
        <f t="shared" si="2"/>
        <v>-1.0908741793188088</v>
      </c>
      <c r="K92" t="str">
        <f t="shared" si="3"/>
        <v>Junior</v>
      </c>
    </row>
    <row r="93" spans="1:11">
      <c r="A93">
        <v>52</v>
      </c>
      <c r="B93" t="s">
        <v>7</v>
      </c>
      <c r="C93">
        <v>3</v>
      </c>
      <c r="D93" t="s">
        <v>12</v>
      </c>
      <c r="E93">
        <v>9700</v>
      </c>
      <c r="F93" t="s">
        <v>15</v>
      </c>
      <c r="G93" t="s">
        <v>10</v>
      </c>
      <c r="H93">
        <f t="shared" si="0"/>
        <v>6887</v>
      </c>
      <c r="I93" s="16">
        <f t="shared" si="1"/>
        <v>-0.53310866966071235</v>
      </c>
      <c r="J93" s="16">
        <f t="shared" si="2"/>
        <v>-0.57414430490463619</v>
      </c>
      <c r="K93" t="str">
        <f t="shared" si="3"/>
        <v>Mid</v>
      </c>
    </row>
    <row r="94" spans="1:11">
      <c r="A94">
        <v>53</v>
      </c>
      <c r="B94" t="s">
        <v>11</v>
      </c>
      <c r="C94">
        <v>7</v>
      </c>
      <c r="D94" t="s">
        <v>8</v>
      </c>
      <c r="E94">
        <v>16000</v>
      </c>
      <c r="F94" t="s">
        <v>13</v>
      </c>
      <c r="G94" t="s">
        <v>10</v>
      </c>
      <c r="H94">
        <f t="shared" si="0"/>
        <v>11360</v>
      </c>
      <c r="I94" s="16">
        <f t="shared" si="1"/>
        <v>0.48122896690849543</v>
      </c>
      <c r="J94" s="16">
        <f t="shared" si="2"/>
        <v>0.45931544392370893</v>
      </c>
      <c r="K94" t="str">
        <f t="shared" si="3"/>
        <v>Senior</v>
      </c>
    </row>
    <row r="95" spans="1:11">
      <c r="A95">
        <v>54</v>
      </c>
      <c r="B95" t="s">
        <v>7</v>
      </c>
      <c r="C95">
        <v>4</v>
      </c>
      <c r="D95" t="s">
        <v>14</v>
      </c>
      <c r="E95">
        <v>10400</v>
      </c>
      <c r="F95" t="s">
        <v>15</v>
      </c>
      <c r="G95" t="s">
        <v>10</v>
      </c>
      <c r="H95">
        <f t="shared" si="0"/>
        <v>7384</v>
      </c>
      <c r="I95" s="16">
        <f t="shared" si="1"/>
        <v>-0.4204044878196892</v>
      </c>
      <c r="J95" s="16">
        <f t="shared" si="2"/>
        <v>-0.31577936769754994</v>
      </c>
      <c r="K95" t="str">
        <f t="shared" si="3"/>
        <v>Mid</v>
      </c>
    </row>
    <row r="96" spans="1:11">
      <c r="A96">
        <v>55</v>
      </c>
      <c r="B96" t="s">
        <v>19</v>
      </c>
      <c r="C96">
        <v>11</v>
      </c>
      <c r="D96" t="s">
        <v>8</v>
      </c>
      <c r="E96">
        <v>23500</v>
      </c>
      <c r="F96" t="s">
        <v>13</v>
      </c>
      <c r="G96" t="s">
        <v>10</v>
      </c>
      <c r="H96">
        <f t="shared" si="0"/>
        <v>16685</v>
      </c>
      <c r="I96" s="16">
        <f t="shared" si="1"/>
        <v>1.6887737723480285</v>
      </c>
      <c r="J96" s="16">
        <f t="shared" si="2"/>
        <v>1.4927751927520541</v>
      </c>
      <c r="K96" t="str">
        <f t="shared" si="3"/>
        <v>Senior</v>
      </c>
    </row>
    <row r="97" spans="1:11">
      <c r="A97">
        <v>56</v>
      </c>
      <c r="B97" t="s">
        <v>7</v>
      </c>
      <c r="C97">
        <v>2</v>
      </c>
      <c r="D97" t="s">
        <v>12</v>
      </c>
      <c r="E97">
        <v>8900</v>
      </c>
      <c r="F97" t="s">
        <v>9</v>
      </c>
      <c r="G97" t="s">
        <v>16</v>
      </c>
      <c r="H97">
        <f t="shared" si="0"/>
        <v>6319</v>
      </c>
      <c r="I97" s="16">
        <f t="shared" si="1"/>
        <v>-0.66191344890759585</v>
      </c>
      <c r="J97" s="16">
        <f t="shared" si="2"/>
        <v>-0.8325092421117225</v>
      </c>
      <c r="K97" t="str">
        <f t="shared" si="3"/>
        <v>Mid</v>
      </c>
    </row>
    <row r="98" spans="1:11">
      <c r="A98">
        <v>57</v>
      </c>
      <c r="B98" t="s">
        <v>17</v>
      </c>
      <c r="C98">
        <v>1</v>
      </c>
      <c r="D98" t="s">
        <v>14</v>
      </c>
      <c r="E98">
        <v>6300</v>
      </c>
      <c r="F98" t="s">
        <v>9</v>
      </c>
      <c r="G98" t="s">
        <v>10</v>
      </c>
      <c r="H98">
        <f t="shared" si="0"/>
        <v>4473</v>
      </c>
      <c r="I98" s="16">
        <f t="shared" si="1"/>
        <v>-1.0805289814599672</v>
      </c>
      <c r="J98" s="16">
        <f t="shared" si="2"/>
        <v>-1.0908741793188088</v>
      </c>
      <c r="K98" t="str">
        <f t="shared" si="3"/>
        <v>Junior</v>
      </c>
    </row>
    <row r="99" spans="1:11">
      <c r="A99">
        <v>58</v>
      </c>
      <c r="B99" t="s">
        <v>11</v>
      </c>
      <c r="C99">
        <v>8</v>
      </c>
      <c r="D99" t="s">
        <v>12</v>
      </c>
      <c r="E99">
        <v>16800</v>
      </c>
      <c r="F99" t="s">
        <v>13</v>
      </c>
      <c r="G99" t="s">
        <v>10</v>
      </c>
      <c r="H99">
        <f t="shared" si="0"/>
        <v>11928</v>
      </c>
      <c r="I99" s="16">
        <f t="shared" si="1"/>
        <v>0.61003374615537898</v>
      </c>
      <c r="J99" s="16">
        <f t="shared" si="2"/>
        <v>0.71768038113079524</v>
      </c>
      <c r="K99" t="str">
        <f t="shared" si="3"/>
        <v>Senior</v>
      </c>
    </row>
    <row r="100" spans="1:11">
      <c r="A100">
        <v>59</v>
      </c>
      <c r="B100" t="s">
        <v>7</v>
      </c>
      <c r="C100">
        <v>5</v>
      </c>
      <c r="D100" t="s">
        <v>18</v>
      </c>
      <c r="E100">
        <v>12000</v>
      </c>
      <c r="F100" t="s">
        <v>15</v>
      </c>
      <c r="G100" t="s">
        <v>10</v>
      </c>
      <c r="H100">
        <f t="shared" si="0"/>
        <v>8520</v>
      </c>
      <c r="I100" s="16">
        <f t="shared" si="1"/>
        <v>-0.16279492932592218</v>
      </c>
      <c r="J100" s="16">
        <f t="shared" si="2"/>
        <v>-5.7414430490463644E-2</v>
      </c>
      <c r="K100" t="str">
        <f t="shared" si="3"/>
        <v>Mid</v>
      </c>
    </row>
    <row r="101" spans="1:11">
      <c r="A101">
        <v>60</v>
      </c>
      <c r="B101" t="s">
        <v>19</v>
      </c>
      <c r="C101">
        <v>13</v>
      </c>
      <c r="D101" t="s">
        <v>14</v>
      </c>
      <c r="E101">
        <v>25800</v>
      </c>
      <c r="F101" t="s">
        <v>13</v>
      </c>
      <c r="G101" t="s">
        <v>10</v>
      </c>
      <c r="H101">
        <f t="shared" si="0"/>
        <v>18318</v>
      </c>
      <c r="I101" s="16">
        <f t="shared" si="1"/>
        <v>2.0590875126828188</v>
      </c>
      <c r="J101" s="16">
        <f t="shared" si="2"/>
        <v>2.0095050671662267</v>
      </c>
      <c r="K101" t="str">
        <f t="shared" si="3"/>
        <v>Senior</v>
      </c>
    </row>
    <row r="102" spans="1:11">
      <c r="A102">
        <v>61</v>
      </c>
      <c r="B102" t="s">
        <v>7</v>
      </c>
      <c r="C102">
        <v>3</v>
      </c>
      <c r="D102" t="s">
        <v>8</v>
      </c>
      <c r="E102">
        <v>9500</v>
      </c>
      <c r="F102" t="s">
        <v>15</v>
      </c>
      <c r="G102" t="s">
        <v>10</v>
      </c>
      <c r="H102">
        <f t="shared" si="0"/>
        <v>6745</v>
      </c>
      <c r="I102" s="16">
        <f t="shared" si="1"/>
        <v>-0.56530986447243314</v>
      </c>
      <c r="J102" s="16">
        <f t="shared" si="2"/>
        <v>-0.57414430490463619</v>
      </c>
      <c r="K102" t="str">
        <f t="shared" si="3"/>
        <v>Mid</v>
      </c>
    </row>
    <row r="103" spans="1:11">
      <c r="A103">
        <v>62</v>
      </c>
      <c r="B103" t="s">
        <v>11</v>
      </c>
      <c r="C103">
        <v>6</v>
      </c>
      <c r="D103" t="s">
        <v>12</v>
      </c>
      <c r="E103">
        <v>14800</v>
      </c>
      <c r="F103" t="s">
        <v>13</v>
      </c>
      <c r="G103" t="s">
        <v>10</v>
      </c>
      <c r="H103">
        <f t="shared" si="0"/>
        <v>10508</v>
      </c>
      <c r="I103" s="16">
        <f t="shared" si="1"/>
        <v>0.28802179803817013</v>
      </c>
      <c r="J103" s="16">
        <f t="shared" si="2"/>
        <v>0.20095050671662265</v>
      </c>
      <c r="K103" t="str">
        <f t="shared" si="3"/>
        <v>Senior</v>
      </c>
    </row>
    <row r="104" spans="1:11">
      <c r="A104">
        <v>63</v>
      </c>
      <c r="B104" t="s">
        <v>7</v>
      </c>
      <c r="C104">
        <v>4</v>
      </c>
      <c r="D104" t="s">
        <v>14</v>
      </c>
      <c r="E104">
        <v>11000</v>
      </c>
      <c r="F104" t="s">
        <v>15</v>
      </c>
      <c r="G104" t="s">
        <v>10</v>
      </c>
      <c r="H104">
        <f t="shared" si="0"/>
        <v>7810</v>
      </c>
      <c r="I104" s="16">
        <f t="shared" si="1"/>
        <v>-0.32380090338452661</v>
      </c>
      <c r="J104" s="16">
        <f t="shared" si="2"/>
        <v>-0.31577936769754994</v>
      </c>
      <c r="K104" t="str">
        <f t="shared" si="3"/>
        <v>Mid</v>
      </c>
    </row>
    <row r="105" spans="1:11">
      <c r="A105">
        <v>64</v>
      </c>
      <c r="B105" t="s">
        <v>17</v>
      </c>
      <c r="C105">
        <v>1</v>
      </c>
      <c r="D105" t="s">
        <v>12</v>
      </c>
      <c r="E105">
        <v>6000</v>
      </c>
      <c r="F105" t="s">
        <v>9</v>
      </c>
      <c r="G105" t="s">
        <v>16</v>
      </c>
      <c r="H105">
        <f t="shared" si="0"/>
        <v>4260</v>
      </c>
      <c r="I105" s="16">
        <f t="shared" si="1"/>
        <v>-1.1288307736775485</v>
      </c>
      <c r="J105" s="16">
        <f t="shared" si="2"/>
        <v>-1.0908741793188088</v>
      </c>
      <c r="K105" t="str">
        <f t="shared" si="3"/>
        <v>Junior</v>
      </c>
    </row>
    <row r="106" spans="1:11">
      <c r="A106">
        <v>65</v>
      </c>
      <c r="B106" t="s">
        <v>19</v>
      </c>
      <c r="C106">
        <v>12</v>
      </c>
      <c r="D106" t="s">
        <v>18</v>
      </c>
      <c r="E106">
        <v>24200</v>
      </c>
      <c r="F106" t="s">
        <v>13</v>
      </c>
      <c r="G106" t="s">
        <v>10</v>
      </c>
      <c r="H106">
        <f t="shared" si="0"/>
        <v>17182</v>
      </c>
      <c r="I106" s="16">
        <f t="shared" si="1"/>
        <v>1.8014779541890515</v>
      </c>
      <c r="J106" s="16">
        <f t="shared" si="2"/>
        <v>1.7511401299591405</v>
      </c>
      <c r="K106" t="str">
        <f t="shared" si="3"/>
        <v>Senior</v>
      </c>
    </row>
    <row r="107" spans="1:11">
      <c r="A107">
        <v>66</v>
      </c>
      <c r="B107" t="s">
        <v>7</v>
      </c>
      <c r="C107">
        <v>2</v>
      </c>
      <c r="D107" t="s">
        <v>8</v>
      </c>
      <c r="E107">
        <v>8800</v>
      </c>
      <c r="F107" t="s">
        <v>9</v>
      </c>
      <c r="G107" t="s">
        <v>16</v>
      </c>
      <c r="H107">
        <f t="shared" si="0"/>
        <v>6248</v>
      </c>
      <c r="I107" s="16">
        <f t="shared" si="1"/>
        <v>-0.6780140463134563</v>
      </c>
      <c r="J107" s="16">
        <f t="shared" si="2"/>
        <v>-0.8325092421117225</v>
      </c>
      <c r="K107" t="str">
        <f t="shared" si="3"/>
        <v>Mid</v>
      </c>
    </row>
    <row r="108" spans="1:11">
      <c r="A108">
        <v>67</v>
      </c>
      <c r="B108" t="s">
        <v>11</v>
      </c>
      <c r="C108">
        <v>9</v>
      </c>
      <c r="D108" t="s">
        <v>14</v>
      </c>
      <c r="E108">
        <v>17000</v>
      </c>
      <c r="F108" t="s">
        <v>13</v>
      </c>
      <c r="G108" t="s">
        <v>10</v>
      </c>
      <c r="H108">
        <f t="shared" ref="H108:H141" si="4">E108*0.71</f>
        <v>12070</v>
      </c>
      <c r="I108" s="16">
        <f t="shared" ref="I108:I141" si="5">(H108 - AVERAGE($H$43:$H$141)) / _xlfn.STDEV.S($H$43:$H$141)</f>
        <v>0.64223494096709977</v>
      </c>
      <c r="J108" s="16">
        <f t="shared" ref="J108:J141" si="6">(C108 - AVERAGE($C$43:$C$141)) / _xlfn.STDEV.S($C$43:$C$141)</f>
        <v>0.97604531833788155</v>
      </c>
      <c r="K108" t="str">
        <f t="shared" si="3"/>
        <v>Senior</v>
      </c>
    </row>
    <row r="109" spans="1:11">
      <c r="A109">
        <v>68</v>
      </c>
      <c r="B109" t="s">
        <v>7</v>
      </c>
      <c r="C109">
        <v>5</v>
      </c>
      <c r="D109" t="s">
        <v>12</v>
      </c>
      <c r="E109">
        <v>11900</v>
      </c>
      <c r="F109" t="s">
        <v>15</v>
      </c>
      <c r="G109" t="s">
        <v>10</v>
      </c>
      <c r="H109">
        <f t="shared" si="4"/>
        <v>8449</v>
      </c>
      <c r="I109" s="16">
        <f t="shared" si="5"/>
        <v>-0.17889552673178263</v>
      </c>
      <c r="J109" s="16">
        <f t="shared" si="6"/>
        <v>-5.7414430490463644E-2</v>
      </c>
      <c r="K109" t="str">
        <f t="shared" ref="K109:K141" si="7">IF(B109="Junior Data Scientist","Junior",IF(B109="Developer","Mid","Senior"))</f>
        <v>Mid</v>
      </c>
    </row>
    <row r="110" spans="1:11">
      <c r="A110">
        <v>69</v>
      </c>
      <c r="B110" t="s">
        <v>17</v>
      </c>
      <c r="C110">
        <v>1</v>
      </c>
      <c r="D110" t="s">
        <v>14</v>
      </c>
      <c r="E110">
        <v>6500</v>
      </c>
      <c r="F110" t="s">
        <v>9</v>
      </c>
      <c r="G110" t="s">
        <v>10</v>
      </c>
      <c r="H110">
        <f t="shared" si="4"/>
        <v>4615</v>
      </c>
      <c r="I110" s="16">
        <f t="shared" si="5"/>
        <v>-1.0483277866482463</v>
      </c>
      <c r="J110" s="16">
        <f t="shared" si="6"/>
        <v>-1.0908741793188088</v>
      </c>
      <c r="K110" t="str">
        <f t="shared" si="7"/>
        <v>Junior</v>
      </c>
    </row>
    <row r="111" spans="1:11">
      <c r="A111">
        <v>70</v>
      </c>
      <c r="B111" t="s">
        <v>19</v>
      </c>
      <c r="C111">
        <v>14</v>
      </c>
      <c r="D111" t="s">
        <v>12</v>
      </c>
      <c r="E111">
        <v>26800</v>
      </c>
      <c r="F111" t="s">
        <v>13</v>
      </c>
      <c r="G111" t="s">
        <v>10</v>
      </c>
      <c r="H111">
        <f t="shared" si="4"/>
        <v>19028</v>
      </c>
      <c r="I111" s="16">
        <f t="shared" si="5"/>
        <v>2.220093486741423</v>
      </c>
      <c r="J111" s="16">
        <f t="shared" si="6"/>
        <v>2.2678700043733131</v>
      </c>
      <c r="K111" t="str">
        <f t="shared" si="7"/>
        <v>Senior</v>
      </c>
    </row>
    <row r="112" spans="1:11">
      <c r="A112">
        <v>71</v>
      </c>
      <c r="B112" t="s">
        <v>7</v>
      </c>
      <c r="C112">
        <v>3</v>
      </c>
      <c r="D112" t="s">
        <v>18</v>
      </c>
      <c r="E112">
        <v>9800</v>
      </c>
      <c r="F112" t="s">
        <v>15</v>
      </c>
      <c r="G112" t="s">
        <v>16</v>
      </c>
      <c r="H112">
        <f t="shared" si="4"/>
        <v>6958</v>
      </c>
      <c r="I112" s="16">
        <f t="shared" si="5"/>
        <v>-0.5170080722548519</v>
      </c>
      <c r="J112" s="16">
        <f t="shared" si="6"/>
        <v>-0.57414430490463619</v>
      </c>
      <c r="K112" t="str">
        <f t="shared" si="7"/>
        <v>Mid</v>
      </c>
    </row>
    <row r="113" spans="1:11">
      <c r="A113">
        <v>72</v>
      </c>
      <c r="B113" t="s">
        <v>11</v>
      </c>
      <c r="C113">
        <v>7</v>
      </c>
      <c r="D113" t="s">
        <v>8</v>
      </c>
      <c r="E113">
        <v>15900</v>
      </c>
      <c r="F113" t="s">
        <v>13</v>
      </c>
      <c r="G113" t="s">
        <v>10</v>
      </c>
      <c r="H113">
        <f t="shared" si="4"/>
        <v>11289</v>
      </c>
      <c r="I113" s="16">
        <f t="shared" si="5"/>
        <v>0.46512836950263498</v>
      </c>
      <c r="J113" s="16">
        <f t="shared" si="6"/>
        <v>0.45931544392370893</v>
      </c>
      <c r="K113" t="str">
        <f t="shared" si="7"/>
        <v>Senior</v>
      </c>
    </row>
    <row r="114" spans="1:11">
      <c r="A114">
        <v>73</v>
      </c>
      <c r="B114" t="s">
        <v>7</v>
      </c>
      <c r="C114">
        <v>4</v>
      </c>
      <c r="D114" t="s">
        <v>14</v>
      </c>
      <c r="E114">
        <v>10700</v>
      </c>
      <c r="F114" t="s">
        <v>15</v>
      </c>
      <c r="G114" t="s">
        <v>10</v>
      </c>
      <c r="H114">
        <f t="shared" si="4"/>
        <v>7597</v>
      </c>
      <c r="I114" s="16">
        <f t="shared" si="5"/>
        <v>-0.3721026956021079</v>
      </c>
      <c r="J114" s="16">
        <f t="shared" si="6"/>
        <v>-0.31577936769754994</v>
      </c>
      <c r="K114" t="str">
        <f t="shared" si="7"/>
        <v>Mid</v>
      </c>
    </row>
    <row r="115" spans="1:11">
      <c r="A115">
        <v>74</v>
      </c>
      <c r="B115" t="s">
        <v>17</v>
      </c>
      <c r="C115">
        <v>0.5</v>
      </c>
      <c r="D115" t="s">
        <v>12</v>
      </c>
      <c r="E115">
        <v>5600</v>
      </c>
      <c r="F115" t="s">
        <v>9</v>
      </c>
      <c r="G115" t="s">
        <v>16</v>
      </c>
      <c r="H115">
        <f t="shared" si="4"/>
        <v>3976</v>
      </c>
      <c r="I115" s="16">
        <f t="shared" si="5"/>
        <v>-1.1932331633009903</v>
      </c>
      <c r="J115" s="16">
        <f t="shared" si="6"/>
        <v>-1.220056647922352</v>
      </c>
      <c r="K115" t="str">
        <f t="shared" si="7"/>
        <v>Junior</v>
      </c>
    </row>
    <row r="116" spans="1:11">
      <c r="A116">
        <v>75</v>
      </c>
      <c r="B116" t="s">
        <v>19</v>
      </c>
      <c r="C116">
        <v>11</v>
      </c>
      <c r="D116" t="s">
        <v>8</v>
      </c>
      <c r="E116">
        <v>23300</v>
      </c>
      <c r="F116" t="s">
        <v>13</v>
      </c>
      <c r="G116" t="s">
        <v>10</v>
      </c>
      <c r="H116">
        <f t="shared" si="4"/>
        <v>16543</v>
      </c>
      <c r="I116" s="16">
        <f t="shared" si="5"/>
        <v>1.6565725775363076</v>
      </c>
      <c r="J116" s="16">
        <f t="shared" si="6"/>
        <v>1.4927751927520541</v>
      </c>
      <c r="K116" t="str">
        <f t="shared" si="7"/>
        <v>Senior</v>
      </c>
    </row>
    <row r="117" spans="1:11">
      <c r="A117">
        <v>76</v>
      </c>
      <c r="B117" t="s">
        <v>7</v>
      </c>
      <c r="C117">
        <v>2</v>
      </c>
      <c r="D117" t="s">
        <v>14</v>
      </c>
      <c r="E117">
        <v>8600</v>
      </c>
      <c r="F117" t="s">
        <v>9</v>
      </c>
      <c r="G117" t="s">
        <v>16</v>
      </c>
      <c r="H117">
        <f t="shared" si="4"/>
        <v>6106</v>
      </c>
      <c r="I117" s="16">
        <f t="shared" si="5"/>
        <v>-0.71021524112517709</v>
      </c>
      <c r="J117" s="16">
        <f t="shared" si="6"/>
        <v>-0.8325092421117225</v>
      </c>
      <c r="K117" t="str">
        <f t="shared" si="7"/>
        <v>Mid</v>
      </c>
    </row>
    <row r="118" spans="1:11">
      <c r="A118">
        <v>77</v>
      </c>
      <c r="B118" t="s">
        <v>11</v>
      </c>
      <c r="C118">
        <v>8</v>
      </c>
      <c r="D118" t="s">
        <v>18</v>
      </c>
      <c r="E118">
        <v>16900</v>
      </c>
      <c r="F118" t="s">
        <v>13</v>
      </c>
      <c r="G118" t="s">
        <v>10</v>
      </c>
      <c r="H118">
        <f t="shared" si="4"/>
        <v>11999</v>
      </c>
      <c r="I118" s="16">
        <f t="shared" si="5"/>
        <v>0.62613434356123943</v>
      </c>
      <c r="J118" s="16">
        <f t="shared" si="6"/>
        <v>0.71768038113079524</v>
      </c>
      <c r="K118" t="str">
        <f t="shared" si="7"/>
        <v>Senior</v>
      </c>
    </row>
    <row r="119" spans="1:11">
      <c r="A119">
        <v>78</v>
      </c>
      <c r="B119" t="s">
        <v>7</v>
      </c>
      <c r="C119">
        <v>5</v>
      </c>
      <c r="D119" t="s">
        <v>12</v>
      </c>
      <c r="E119">
        <v>12200</v>
      </c>
      <c r="F119" t="s">
        <v>15</v>
      </c>
      <c r="G119" t="s">
        <v>10</v>
      </c>
      <c r="H119">
        <f t="shared" si="4"/>
        <v>8662</v>
      </c>
      <c r="I119" s="16">
        <f t="shared" si="5"/>
        <v>-0.13059373451420131</v>
      </c>
      <c r="J119" s="16">
        <f t="shared" si="6"/>
        <v>-5.7414430490463644E-2</v>
      </c>
      <c r="K119" t="str">
        <f t="shared" si="7"/>
        <v>Mid</v>
      </c>
    </row>
    <row r="120" spans="1:11">
      <c r="A120">
        <v>79</v>
      </c>
      <c r="B120" t="s">
        <v>17</v>
      </c>
      <c r="C120">
        <v>1</v>
      </c>
      <c r="D120" t="s">
        <v>8</v>
      </c>
      <c r="E120">
        <v>6100</v>
      </c>
      <c r="F120" t="s">
        <v>9</v>
      </c>
      <c r="G120" t="s">
        <v>10</v>
      </c>
      <c r="H120">
        <f t="shared" si="4"/>
        <v>4331</v>
      </c>
      <c r="I120" s="16">
        <f t="shared" si="5"/>
        <v>-1.1127301762716881</v>
      </c>
      <c r="J120" s="16">
        <f t="shared" si="6"/>
        <v>-1.0908741793188088</v>
      </c>
      <c r="K120" t="str">
        <f t="shared" si="7"/>
        <v>Junior</v>
      </c>
    </row>
    <row r="121" spans="1:11">
      <c r="A121">
        <v>80</v>
      </c>
      <c r="B121" t="s">
        <v>19</v>
      </c>
      <c r="C121">
        <v>13</v>
      </c>
      <c r="D121" t="s">
        <v>14</v>
      </c>
      <c r="E121">
        <v>25700</v>
      </c>
      <c r="F121" t="s">
        <v>13</v>
      </c>
      <c r="G121" t="s">
        <v>10</v>
      </c>
      <c r="H121">
        <f t="shared" si="4"/>
        <v>18247</v>
      </c>
      <c r="I121" s="16">
        <f t="shared" si="5"/>
        <v>2.0429869152769582</v>
      </c>
      <c r="J121" s="16">
        <f t="shared" si="6"/>
        <v>2.0095050671662267</v>
      </c>
      <c r="K121" t="str">
        <f t="shared" si="7"/>
        <v>Senior</v>
      </c>
    </row>
    <row r="122" spans="1:11">
      <c r="A122">
        <v>81</v>
      </c>
      <c r="B122" t="s">
        <v>7</v>
      </c>
      <c r="C122">
        <v>3</v>
      </c>
      <c r="D122" t="s">
        <v>12</v>
      </c>
      <c r="E122">
        <v>9400</v>
      </c>
      <c r="F122" t="s">
        <v>15</v>
      </c>
      <c r="G122" t="s">
        <v>16</v>
      </c>
      <c r="H122">
        <f t="shared" si="4"/>
        <v>6674</v>
      </c>
      <c r="I122" s="16">
        <f t="shared" si="5"/>
        <v>-0.58141046187829359</v>
      </c>
      <c r="J122" s="16">
        <f t="shared" si="6"/>
        <v>-0.57414430490463619</v>
      </c>
      <c r="K122" t="str">
        <f t="shared" si="7"/>
        <v>Mid</v>
      </c>
    </row>
    <row r="123" spans="1:11">
      <c r="A123">
        <v>82</v>
      </c>
      <c r="B123" t="s">
        <v>11</v>
      </c>
      <c r="C123">
        <v>6</v>
      </c>
      <c r="D123" t="s">
        <v>8</v>
      </c>
      <c r="E123">
        <v>15000</v>
      </c>
      <c r="F123" t="s">
        <v>13</v>
      </c>
      <c r="G123" t="s">
        <v>10</v>
      </c>
      <c r="H123">
        <f t="shared" si="4"/>
        <v>10650</v>
      </c>
      <c r="I123" s="16">
        <f t="shared" si="5"/>
        <v>0.32022299284989103</v>
      </c>
      <c r="J123" s="16">
        <f t="shared" si="6"/>
        <v>0.20095050671662265</v>
      </c>
      <c r="K123" t="str">
        <f t="shared" si="7"/>
        <v>Senior</v>
      </c>
    </row>
    <row r="124" spans="1:11">
      <c r="A124">
        <v>83</v>
      </c>
      <c r="B124" t="s">
        <v>7</v>
      </c>
      <c r="C124">
        <v>4</v>
      </c>
      <c r="D124" t="s">
        <v>18</v>
      </c>
      <c r="E124">
        <v>10800</v>
      </c>
      <c r="F124" t="s">
        <v>15</v>
      </c>
      <c r="G124" t="s">
        <v>10</v>
      </c>
      <c r="H124">
        <f t="shared" si="4"/>
        <v>7668</v>
      </c>
      <c r="I124" s="16">
        <f t="shared" si="5"/>
        <v>-0.35600209819624745</v>
      </c>
      <c r="J124" s="16">
        <f t="shared" si="6"/>
        <v>-0.31577936769754994</v>
      </c>
      <c r="K124" t="str">
        <f t="shared" si="7"/>
        <v>Mid</v>
      </c>
    </row>
    <row r="125" spans="1:11">
      <c r="A125">
        <v>84</v>
      </c>
      <c r="B125" t="s">
        <v>17</v>
      </c>
      <c r="C125">
        <v>1</v>
      </c>
      <c r="D125" t="s">
        <v>14</v>
      </c>
      <c r="E125">
        <v>6400</v>
      </c>
      <c r="F125" t="s">
        <v>9</v>
      </c>
      <c r="G125" t="s">
        <v>10</v>
      </c>
      <c r="H125">
        <f t="shared" si="4"/>
        <v>4544</v>
      </c>
      <c r="I125" s="16">
        <f t="shared" si="5"/>
        <v>-1.0644283840541069</v>
      </c>
      <c r="J125" s="16">
        <f t="shared" si="6"/>
        <v>-1.0908741793188088</v>
      </c>
      <c r="K125" t="str">
        <f t="shared" si="7"/>
        <v>Junior</v>
      </c>
    </row>
    <row r="126" spans="1:11">
      <c r="A126">
        <v>85</v>
      </c>
      <c r="B126" t="s">
        <v>19</v>
      </c>
      <c r="C126">
        <v>12</v>
      </c>
      <c r="D126" t="s">
        <v>12</v>
      </c>
      <c r="E126">
        <v>24600</v>
      </c>
      <c r="F126" t="s">
        <v>13</v>
      </c>
      <c r="G126" t="s">
        <v>10</v>
      </c>
      <c r="H126">
        <f t="shared" si="4"/>
        <v>17466</v>
      </c>
      <c r="I126" s="16">
        <f t="shared" si="5"/>
        <v>1.8658803438124933</v>
      </c>
      <c r="J126" s="16">
        <f t="shared" si="6"/>
        <v>1.7511401299591405</v>
      </c>
      <c r="K126" t="str">
        <f t="shared" si="7"/>
        <v>Senior</v>
      </c>
    </row>
    <row r="127" spans="1:11">
      <c r="A127">
        <v>86</v>
      </c>
      <c r="B127" t="s">
        <v>7</v>
      </c>
      <c r="C127">
        <v>2</v>
      </c>
      <c r="D127" t="s">
        <v>8</v>
      </c>
      <c r="E127">
        <v>8700</v>
      </c>
      <c r="F127" t="s">
        <v>9</v>
      </c>
      <c r="G127" t="s">
        <v>16</v>
      </c>
      <c r="H127">
        <f t="shared" si="4"/>
        <v>6177</v>
      </c>
      <c r="I127" s="16">
        <f t="shared" si="5"/>
        <v>-0.69411464371931675</v>
      </c>
      <c r="J127" s="16">
        <f t="shared" si="6"/>
        <v>-0.8325092421117225</v>
      </c>
      <c r="K127" t="str">
        <f t="shared" si="7"/>
        <v>Mid</v>
      </c>
    </row>
    <row r="128" spans="1:11">
      <c r="A128">
        <v>87</v>
      </c>
      <c r="B128" t="s">
        <v>11</v>
      </c>
      <c r="C128">
        <v>9</v>
      </c>
      <c r="D128" t="s">
        <v>14</v>
      </c>
      <c r="E128">
        <v>17100</v>
      </c>
      <c r="F128" t="s">
        <v>13</v>
      </c>
      <c r="G128" t="s">
        <v>10</v>
      </c>
      <c r="H128">
        <f t="shared" si="4"/>
        <v>12141</v>
      </c>
      <c r="I128" s="16">
        <f t="shared" si="5"/>
        <v>0.65833553837296022</v>
      </c>
      <c r="J128" s="16">
        <f t="shared" si="6"/>
        <v>0.97604531833788155</v>
      </c>
      <c r="K128" t="str">
        <f t="shared" si="7"/>
        <v>Senior</v>
      </c>
    </row>
    <row r="129" spans="1:11">
      <c r="A129">
        <v>88</v>
      </c>
      <c r="B129" t="s">
        <v>7</v>
      </c>
      <c r="C129">
        <v>5</v>
      </c>
      <c r="D129" t="s">
        <v>12</v>
      </c>
      <c r="E129">
        <v>12300</v>
      </c>
      <c r="F129" t="s">
        <v>15</v>
      </c>
      <c r="G129" t="s">
        <v>10</v>
      </c>
      <c r="H129">
        <f t="shared" si="4"/>
        <v>8733</v>
      </c>
      <c r="I129" s="16">
        <f t="shared" si="5"/>
        <v>-0.11449313710834086</v>
      </c>
      <c r="J129" s="16">
        <f t="shared" si="6"/>
        <v>-5.7414430490463644E-2</v>
      </c>
      <c r="K129" t="str">
        <f t="shared" si="7"/>
        <v>Mid</v>
      </c>
    </row>
    <row r="130" spans="1:11">
      <c r="A130">
        <v>89</v>
      </c>
      <c r="B130" t="s">
        <v>17</v>
      </c>
      <c r="C130">
        <v>0.5</v>
      </c>
      <c r="D130" t="s">
        <v>18</v>
      </c>
      <c r="E130">
        <v>5700</v>
      </c>
      <c r="F130" t="s">
        <v>9</v>
      </c>
      <c r="G130" t="s">
        <v>16</v>
      </c>
      <c r="H130">
        <f t="shared" si="4"/>
        <v>4047</v>
      </c>
      <c r="I130" s="16">
        <f t="shared" si="5"/>
        <v>-1.1771325658951299</v>
      </c>
      <c r="J130" s="16">
        <f t="shared" si="6"/>
        <v>-1.220056647922352</v>
      </c>
      <c r="K130" t="str">
        <f t="shared" si="7"/>
        <v>Junior</v>
      </c>
    </row>
    <row r="131" spans="1:11">
      <c r="A131">
        <v>90</v>
      </c>
      <c r="B131" t="s">
        <v>19</v>
      </c>
      <c r="C131">
        <v>14</v>
      </c>
      <c r="D131" t="s">
        <v>8</v>
      </c>
      <c r="E131">
        <v>27000</v>
      </c>
      <c r="F131" t="s">
        <v>13</v>
      </c>
      <c r="G131" t="s">
        <v>10</v>
      </c>
      <c r="H131">
        <f t="shared" si="4"/>
        <v>19170</v>
      </c>
      <c r="I131" s="16">
        <f t="shared" si="5"/>
        <v>2.2522946815531437</v>
      </c>
      <c r="J131" s="16">
        <f t="shared" si="6"/>
        <v>2.2678700043733131</v>
      </c>
      <c r="K131" t="str">
        <f t="shared" si="7"/>
        <v>Senior</v>
      </c>
    </row>
    <row r="132" spans="1:11">
      <c r="A132">
        <v>91</v>
      </c>
      <c r="B132" t="s">
        <v>7</v>
      </c>
      <c r="C132">
        <v>3</v>
      </c>
      <c r="D132" t="s">
        <v>14</v>
      </c>
      <c r="E132">
        <v>9600</v>
      </c>
      <c r="F132" t="s">
        <v>15</v>
      </c>
      <c r="G132" t="s">
        <v>10</v>
      </c>
      <c r="H132">
        <f t="shared" si="4"/>
        <v>6816</v>
      </c>
      <c r="I132" s="16">
        <f t="shared" si="5"/>
        <v>-0.54920926706657269</v>
      </c>
      <c r="J132" s="16">
        <f t="shared" si="6"/>
        <v>-0.57414430490463619</v>
      </c>
      <c r="K132" t="str">
        <f t="shared" si="7"/>
        <v>Mid</v>
      </c>
    </row>
    <row r="133" spans="1:11">
      <c r="A133">
        <v>92</v>
      </c>
      <c r="B133" t="s">
        <v>11</v>
      </c>
      <c r="C133">
        <v>7</v>
      </c>
      <c r="D133" t="s">
        <v>12</v>
      </c>
      <c r="E133">
        <v>15600</v>
      </c>
      <c r="F133" t="s">
        <v>13</v>
      </c>
      <c r="G133" t="s">
        <v>10</v>
      </c>
      <c r="H133">
        <f t="shared" si="4"/>
        <v>11076</v>
      </c>
      <c r="I133" s="16">
        <f t="shared" si="5"/>
        <v>0.41682657728505368</v>
      </c>
      <c r="J133" s="16">
        <f t="shared" si="6"/>
        <v>0.45931544392370893</v>
      </c>
      <c r="K133" t="str">
        <f t="shared" si="7"/>
        <v>Senior</v>
      </c>
    </row>
    <row r="134" spans="1:11">
      <c r="A134">
        <v>93</v>
      </c>
      <c r="B134" t="s">
        <v>7</v>
      </c>
      <c r="C134">
        <v>4</v>
      </c>
      <c r="D134" t="s">
        <v>8</v>
      </c>
      <c r="E134">
        <v>10600</v>
      </c>
      <c r="F134" t="s">
        <v>15</v>
      </c>
      <c r="G134" t="s">
        <v>10</v>
      </c>
      <c r="H134">
        <f t="shared" si="4"/>
        <v>7526</v>
      </c>
      <c r="I134" s="16">
        <f t="shared" si="5"/>
        <v>-0.38820329300796835</v>
      </c>
      <c r="J134" s="16">
        <f t="shared" si="6"/>
        <v>-0.31577936769754994</v>
      </c>
      <c r="K134" t="str">
        <f t="shared" si="7"/>
        <v>Mid</v>
      </c>
    </row>
    <row r="135" spans="1:11">
      <c r="A135">
        <v>94</v>
      </c>
      <c r="B135" t="s">
        <v>17</v>
      </c>
      <c r="C135">
        <v>1</v>
      </c>
      <c r="D135" t="s">
        <v>12</v>
      </c>
      <c r="E135">
        <v>6000</v>
      </c>
      <c r="F135" t="s">
        <v>9</v>
      </c>
      <c r="G135" t="s">
        <v>16</v>
      </c>
      <c r="H135">
        <f t="shared" si="4"/>
        <v>4260</v>
      </c>
      <c r="I135" s="16">
        <f t="shared" si="5"/>
        <v>-1.1288307736775485</v>
      </c>
      <c r="J135" s="16">
        <f t="shared" si="6"/>
        <v>-1.0908741793188088</v>
      </c>
      <c r="K135" t="str">
        <f t="shared" si="7"/>
        <v>Junior</v>
      </c>
    </row>
    <row r="136" spans="1:11">
      <c r="A136">
        <v>95</v>
      </c>
      <c r="B136" t="s">
        <v>19</v>
      </c>
      <c r="C136">
        <v>11</v>
      </c>
      <c r="D136" t="s">
        <v>18</v>
      </c>
      <c r="E136">
        <v>23900</v>
      </c>
      <c r="F136" t="s">
        <v>13</v>
      </c>
      <c r="G136" t="s">
        <v>10</v>
      </c>
      <c r="H136">
        <f t="shared" si="4"/>
        <v>16969</v>
      </c>
      <c r="I136" s="16">
        <f t="shared" si="5"/>
        <v>1.7531761619714701</v>
      </c>
      <c r="J136" s="16">
        <f t="shared" si="6"/>
        <v>1.4927751927520541</v>
      </c>
      <c r="K136" t="str">
        <f t="shared" si="7"/>
        <v>Senior</v>
      </c>
    </row>
    <row r="137" spans="1:11">
      <c r="A137">
        <v>96</v>
      </c>
      <c r="B137" t="s">
        <v>7</v>
      </c>
      <c r="C137">
        <v>2</v>
      </c>
      <c r="D137" t="s">
        <v>14</v>
      </c>
      <c r="E137">
        <v>8800</v>
      </c>
      <c r="F137" t="s">
        <v>9</v>
      </c>
      <c r="G137" t="s">
        <v>16</v>
      </c>
      <c r="H137">
        <f t="shared" si="4"/>
        <v>6248</v>
      </c>
      <c r="I137" s="16">
        <f t="shared" si="5"/>
        <v>-0.6780140463134563</v>
      </c>
      <c r="J137" s="16">
        <f t="shared" si="6"/>
        <v>-0.8325092421117225</v>
      </c>
      <c r="K137" t="str">
        <f t="shared" si="7"/>
        <v>Mid</v>
      </c>
    </row>
    <row r="138" spans="1:11">
      <c r="A138">
        <v>97</v>
      </c>
      <c r="B138" t="s">
        <v>11</v>
      </c>
      <c r="C138">
        <v>8</v>
      </c>
      <c r="D138" t="s">
        <v>8</v>
      </c>
      <c r="E138">
        <v>16600</v>
      </c>
      <c r="F138" t="s">
        <v>13</v>
      </c>
      <c r="G138" t="s">
        <v>10</v>
      </c>
      <c r="H138">
        <f t="shared" si="4"/>
        <v>11786</v>
      </c>
      <c r="I138" s="16">
        <f t="shared" si="5"/>
        <v>0.57783255134365807</v>
      </c>
      <c r="J138" s="16">
        <f t="shared" si="6"/>
        <v>0.71768038113079524</v>
      </c>
      <c r="K138" t="str">
        <f t="shared" si="7"/>
        <v>Senior</v>
      </c>
    </row>
    <row r="139" spans="1:11">
      <c r="A139">
        <v>98</v>
      </c>
      <c r="B139" t="s">
        <v>7</v>
      </c>
      <c r="C139">
        <v>5</v>
      </c>
      <c r="D139" t="s">
        <v>12</v>
      </c>
      <c r="E139">
        <v>12000</v>
      </c>
      <c r="F139" t="s">
        <v>15</v>
      </c>
      <c r="G139" t="s">
        <v>10</v>
      </c>
      <c r="H139">
        <f t="shared" si="4"/>
        <v>8520</v>
      </c>
      <c r="I139" s="16">
        <f t="shared" si="5"/>
        <v>-0.16279492932592218</v>
      </c>
      <c r="J139" s="16">
        <f t="shared" si="6"/>
        <v>-5.7414430490463644E-2</v>
      </c>
      <c r="K139" t="str">
        <f t="shared" si="7"/>
        <v>Mid</v>
      </c>
    </row>
    <row r="140" spans="1:11">
      <c r="A140">
        <v>99</v>
      </c>
      <c r="B140" t="s">
        <v>17</v>
      </c>
      <c r="C140">
        <v>1</v>
      </c>
      <c r="D140" t="s">
        <v>14</v>
      </c>
      <c r="E140">
        <v>6500</v>
      </c>
      <c r="F140" t="s">
        <v>9</v>
      </c>
      <c r="G140" t="s">
        <v>10</v>
      </c>
      <c r="H140">
        <f t="shared" si="4"/>
        <v>4615</v>
      </c>
      <c r="I140" s="16">
        <f t="shared" si="5"/>
        <v>-1.0483277866482463</v>
      </c>
      <c r="J140" s="16">
        <f t="shared" si="6"/>
        <v>-1.0908741793188088</v>
      </c>
      <c r="K140" t="str">
        <f t="shared" si="7"/>
        <v>Junior</v>
      </c>
    </row>
    <row r="141" spans="1:11">
      <c r="A141">
        <v>100</v>
      </c>
      <c r="B141" t="s">
        <v>19</v>
      </c>
      <c r="C141">
        <v>15</v>
      </c>
      <c r="D141" t="s">
        <v>12</v>
      </c>
      <c r="E141">
        <v>28000</v>
      </c>
      <c r="F141" t="s">
        <v>13</v>
      </c>
      <c r="G141" t="s">
        <v>10</v>
      </c>
      <c r="H141">
        <f t="shared" si="4"/>
        <v>19880</v>
      </c>
      <c r="I141" s="16">
        <f t="shared" si="5"/>
        <v>2.413300655611748</v>
      </c>
      <c r="J141" s="16">
        <f t="shared" si="6"/>
        <v>2.5262349415803995</v>
      </c>
      <c r="K141" t="str">
        <f t="shared" si="7"/>
        <v>Senior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CF67-2863-4938-89B6-CBFD180BEBB3}">
  <dimension ref="I2:AI182"/>
  <sheetViews>
    <sheetView topLeftCell="A7" zoomScale="85" zoomScaleNormal="85" workbookViewId="0">
      <selection activeCell="U2" sqref="U2:V101"/>
    </sheetView>
  </sheetViews>
  <sheetFormatPr defaultColWidth="8.85546875" defaultRowHeight="12.75"/>
  <cols>
    <col min="13" max="13" width="4.140625" bestFit="1" customWidth="1"/>
    <col min="14" max="14" width="18.42578125" bestFit="1" customWidth="1"/>
    <col min="15" max="15" width="18" bestFit="1" customWidth="1"/>
    <col min="16" max="16" width="10.85546875" bestFit="1" customWidth="1"/>
    <col min="17" max="17" width="20" bestFit="1" customWidth="1"/>
    <col min="18" max="18" width="13.85546875" bestFit="1" customWidth="1"/>
    <col min="19" max="19" width="10.85546875" bestFit="1" customWidth="1"/>
    <col min="20" max="20" width="19.28515625" bestFit="1" customWidth="1"/>
    <col min="21" max="21" width="23" bestFit="1" customWidth="1"/>
    <col min="22" max="22" width="21.28515625" bestFit="1" customWidth="1"/>
    <col min="23" max="23" width="17.85546875" bestFit="1" customWidth="1"/>
  </cols>
  <sheetData>
    <row r="2" spans="13:35"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24</v>
      </c>
      <c r="U2" t="s">
        <v>25</v>
      </c>
      <c r="V2" t="s">
        <v>26</v>
      </c>
      <c r="W2" t="s">
        <v>27</v>
      </c>
    </row>
    <row r="3" spans="13:35">
      <c r="M3">
        <v>1</v>
      </c>
      <c r="N3" t="s">
        <v>7</v>
      </c>
      <c r="O3">
        <v>2</v>
      </c>
      <c r="P3" t="s">
        <v>8</v>
      </c>
      <c r="Q3">
        <v>8500</v>
      </c>
      <c r="R3" t="s">
        <v>9</v>
      </c>
      <c r="S3" t="s">
        <v>10</v>
      </c>
      <c r="T3">
        <v>6035</v>
      </c>
      <c r="U3" s="16">
        <v>-0.72631583853103754</v>
      </c>
      <c r="V3" s="16">
        <v>-0.8325092421117225</v>
      </c>
      <c r="W3" t="s">
        <v>28</v>
      </c>
      <c r="Y3" t="s">
        <v>32</v>
      </c>
    </row>
    <row r="4" spans="13:35">
      <c r="M4">
        <v>2</v>
      </c>
      <c r="N4" t="s">
        <v>11</v>
      </c>
      <c r="O4">
        <v>7</v>
      </c>
      <c r="P4" t="s">
        <v>12</v>
      </c>
      <c r="Q4">
        <v>15200</v>
      </c>
      <c r="R4" t="s">
        <v>13</v>
      </c>
      <c r="S4" t="s">
        <v>10</v>
      </c>
      <c r="T4">
        <v>10792</v>
      </c>
      <c r="U4" s="16">
        <v>0.35242418766161188</v>
      </c>
      <c r="V4" s="16">
        <v>0.45931544392370893</v>
      </c>
      <c r="W4" t="s">
        <v>29</v>
      </c>
      <c r="AG4" s="3" t="s">
        <v>32</v>
      </c>
    </row>
    <row r="5" spans="13:35">
      <c r="M5">
        <v>3</v>
      </c>
      <c r="N5" t="s">
        <v>7</v>
      </c>
      <c r="O5">
        <v>3</v>
      </c>
      <c r="P5" t="s">
        <v>14</v>
      </c>
      <c r="Q5">
        <v>9200</v>
      </c>
      <c r="R5" t="s">
        <v>15</v>
      </c>
      <c r="S5" t="s">
        <v>16</v>
      </c>
      <c r="T5">
        <v>6532</v>
      </c>
      <c r="U5" s="16">
        <v>-0.6136116566900145</v>
      </c>
      <c r="V5" s="16">
        <v>-0.57414430490463619</v>
      </c>
      <c r="W5" t="s">
        <v>28</v>
      </c>
      <c r="AG5" s="17" t="s">
        <v>35</v>
      </c>
      <c r="AH5" s="17"/>
      <c r="AI5" s="17"/>
    </row>
    <row r="6" spans="13:35">
      <c r="M6">
        <v>4</v>
      </c>
      <c r="N6" t="s">
        <v>17</v>
      </c>
      <c r="O6">
        <v>1</v>
      </c>
      <c r="P6" t="s">
        <v>8</v>
      </c>
      <c r="Q6">
        <v>6200</v>
      </c>
      <c r="R6" t="s">
        <v>9</v>
      </c>
      <c r="S6" t="s">
        <v>10</v>
      </c>
      <c r="T6">
        <v>4402</v>
      </c>
      <c r="U6" s="16">
        <v>-1.0966295788658278</v>
      </c>
      <c r="V6" s="16">
        <v>-1.0908741793188088</v>
      </c>
      <c r="W6" t="s">
        <v>30</v>
      </c>
      <c r="AG6" s="17"/>
      <c r="AH6" s="17"/>
      <c r="AI6" s="17"/>
    </row>
    <row r="7" spans="13:35">
      <c r="M7">
        <v>5</v>
      </c>
      <c r="N7" t="s">
        <v>7</v>
      </c>
      <c r="O7">
        <v>4</v>
      </c>
      <c r="P7" t="s">
        <v>18</v>
      </c>
      <c r="Q7">
        <v>10800</v>
      </c>
      <c r="R7" t="s">
        <v>15</v>
      </c>
      <c r="S7" t="s">
        <v>10</v>
      </c>
      <c r="T7">
        <v>7668</v>
      </c>
      <c r="U7" s="16">
        <v>-0.35600209819624745</v>
      </c>
      <c r="V7" s="16">
        <v>-0.31577936769754994</v>
      </c>
      <c r="W7" t="s">
        <v>28</v>
      </c>
      <c r="AG7" s="17"/>
      <c r="AH7" s="17"/>
      <c r="AI7" s="17"/>
    </row>
    <row r="8" spans="13:35">
      <c r="M8">
        <v>6</v>
      </c>
      <c r="N8" t="s">
        <v>19</v>
      </c>
      <c r="O8">
        <v>10</v>
      </c>
      <c r="P8" t="s">
        <v>8</v>
      </c>
      <c r="Q8">
        <v>22500</v>
      </c>
      <c r="R8" t="s">
        <v>13</v>
      </c>
      <c r="S8" t="s">
        <v>10</v>
      </c>
      <c r="T8">
        <v>15975</v>
      </c>
      <c r="U8" s="16">
        <v>1.527767798289424</v>
      </c>
      <c r="V8" s="16">
        <v>1.2344102555449679</v>
      </c>
      <c r="W8" t="s">
        <v>29</v>
      </c>
      <c r="AG8" s="17"/>
      <c r="AH8" s="17"/>
      <c r="AI8" s="17"/>
    </row>
    <row r="9" spans="13:35">
      <c r="M9">
        <v>7</v>
      </c>
      <c r="N9" t="s">
        <v>11</v>
      </c>
      <c r="O9">
        <v>6</v>
      </c>
      <c r="P9" t="s">
        <v>14</v>
      </c>
      <c r="Q9">
        <v>14100</v>
      </c>
      <c r="R9" t="s">
        <v>13</v>
      </c>
      <c r="S9" t="s">
        <v>10</v>
      </c>
      <c r="T9">
        <v>10011</v>
      </c>
      <c r="U9" s="16">
        <v>0.17531761619714706</v>
      </c>
      <c r="V9" s="16">
        <v>0.20095050671662265</v>
      </c>
      <c r="W9" t="s">
        <v>29</v>
      </c>
    </row>
    <row r="10" spans="13:35">
      <c r="M10">
        <v>8</v>
      </c>
      <c r="N10" t="s">
        <v>7</v>
      </c>
      <c r="O10">
        <v>3</v>
      </c>
      <c r="P10" t="s">
        <v>12</v>
      </c>
      <c r="Q10">
        <v>9800</v>
      </c>
      <c r="R10" t="s">
        <v>15</v>
      </c>
      <c r="S10" t="s">
        <v>16</v>
      </c>
      <c r="T10">
        <v>6958</v>
      </c>
      <c r="U10" s="16">
        <v>-0.5170080722548519</v>
      </c>
      <c r="V10" s="16">
        <v>-0.57414430490463619</v>
      </c>
      <c r="W10" t="s">
        <v>28</v>
      </c>
      <c r="AG10" s="25" t="s">
        <v>53</v>
      </c>
      <c r="AH10" s="25"/>
      <c r="AI10" s="25"/>
    </row>
    <row r="11" spans="13:35">
      <c r="M11">
        <v>9</v>
      </c>
      <c r="N11" t="s">
        <v>17</v>
      </c>
      <c r="O11">
        <v>1</v>
      </c>
      <c r="P11" t="s">
        <v>12</v>
      </c>
      <c r="Q11">
        <v>5900</v>
      </c>
      <c r="R11" t="s">
        <v>9</v>
      </c>
      <c r="S11" t="s">
        <v>16</v>
      </c>
      <c r="T11">
        <v>4189</v>
      </c>
      <c r="U11" s="16">
        <v>-1.144931371083409</v>
      </c>
      <c r="V11" s="16">
        <v>-1.0908741793188088</v>
      </c>
      <c r="W11" t="s">
        <v>30</v>
      </c>
      <c r="AG11" s="25"/>
      <c r="AH11" s="25"/>
      <c r="AI11" s="25"/>
    </row>
    <row r="12" spans="13:35">
      <c r="M12">
        <v>10</v>
      </c>
      <c r="N12" t="s">
        <v>7</v>
      </c>
      <c r="O12">
        <v>5</v>
      </c>
      <c r="P12" t="s">
        <v>8</v>
      </c>
      <c r="Q12">
        <v>12300</v>
      </c>
      <c r="R12" t="s">
        <v>15</v>
      </c>
      <c r="S12" t="s">
        <v>10</v>
      </c>
      <c r="T12">
        <v>8733</v>
      </c>
      <c r="U12" s="16">
        <v>-0.11449313710834086</v>
      </c>
      <c r="V12" s="16">
        <v>-5.7414430490463644E-2</v>
      </c>
      <c r="W12" t="s">
        <v>28</v>
      </c>
      <c r="AG12" s="25"/>
      <c r="AH12" s="25"/>
      <c r="AI12" s="25"/>
    </row>
    <row r="13" spans="13:35">
      <c r="M13">
        <v>11</v>
      </c>
      <c r="N13" t="s">
        <v>19</v>
      </c>
      <c r="O13">
        <v>12</v>
      </c>
      <c r="P13" t="s">
        <v>12</v>
      </c>
      <c r="Q13">
        <v>24800</v>
      </c>
      <c r="R13" t="s">
        <v>13</v>
      </c>
      <c r="S13" t="s">
        <v>10</v>
      </c>
      <c r="T13">
        <v>17608</v>
      </c>
      <c r="U13" s="16">
        <v>1.8980815386242142</v>
      </c>
      <c r="V13" s="16">
        <v>1.7511401299591405</v>
      </c>
      <c r="W13" t="s">
        <v>29</v>
      </c>
      <c r="AG13" s="25"/>
      <c r="AH13" s="25"/>
      <c r="AI13" s="25"/>
    </row>
    <row r="14" spans="13:35">
      <c r="M14">
        <v>12</v>
      </c>
      <c r="N14" t="s">
        <v>11</v>
      </c>
      <c r="O14">
        <v>8</v>
      </c>
      <c r="P14" t="s">
        <v>18</v>
      </c>
      <c r="Q14">
        <v>16700</v>
      </c>
      <c r="R14" t="s">
        <v>13</v>
      </c>
      <c r="S14" t="s">
        <v>10</v>
      </c>
      <c r="T14">
        <v>11857</v>
      </c>
      <c r="U14" s="16">
        <v>0.59393314874951852</v>
      </c>
      <c r="V14" s="16">
        <v>0.71768038113079524</v>
      </c>
      <c r="W14" t="s">
        <v>29</v>
      </c>
    </row>
    <row r="15" spans="13:35">
      <c r="M15">
        <v>13</v>
      </c>
      <c r="N15" t="s">
        <v>7</v>
      </c>
      <c r="O15">
        <v>2</v>
      </c>
      <c r="P15" t="s">
        <v>14</v>
      </c>
      <c r="Q15">
        <v>8200</v>
      </c>
      <c r="R15" t="s">
        <v>9</v>
      </c>
      <c r="S15" t="s">
        <v>16</v>
      </c>
      <c r="T15">
        <v>5822</v>
      </c>
      <c r="U15" s="16">
        <v>-0.77461763074861889</v>
      </c>
      <c r="V15" s="16">
        <v>-0.8325092421117225</v>
      </c>
      <c r="W15" t="s">
        <v>28</v>
      </c>
    </row>
    <row r="16" spans="13:35">
      <c r="M16">
        <v>14</v>
      </c>
      <c r="N16" t="s">
        <v>17</v>
      </c>
      <c r="O16">
        <v>1</v>
      </c>
      <c r="P16" t="s">
        <v>14</v>
      </c>
      <c r="Q16">
        <v>6500</v>
      </c>
      <c r="R16" t="s">
        <v>15</v>
      </c>
      <c r="S16" t="s">
        <v>10</v>
      </c>
      <c r="T16">
        <v>4615</v>
      </c>
      <c r="U16" s="16">
        <v>-1.0483277866482463</v>
      </c>
      <c r="V16" s="16">
        <v>-1.0908741793188088</v>
      </c>
      <c r="W16" t="s">
        <v>30</v>
      </c>
      <c r="AG16" s="25" t="s">
        <v>54</v>
      </c>
      <c r="AH16" s="25"/>
      <c r="AI16" s="25"/>
    </row>
    <row r="17" spans="13:35">
      <c r="M17">
        <v>15</v>
      </c>
      <c r="N17" t="s">
        <v>7</v>
      </c>
      <c r="O17">
        <v>4</v>
      </c>
      <c r="P17" t="s">
        <v>12</v>
      </c>
      <c r="Q17">
        <v>11200</v>
      </c>
      <c r="R17" t="s">
        <v>15</v>
      </c>
      <c r="S17" t="s">
        <v>10</v>
      </c>
      <c r="T17">
        <v>7952</v>
      </c>
      <c r="U17" s="16">
        <v>-0.2915997085728057</v>
      </c>
      <c r="V17" s="16">
        <v>-0.31577936769754994</v>
      </c>
      <c r="W17" t="s">
        <v>28</v>
      </c>
      <c r="AG17" s="25"/>
      <c r="AH17" s="25"/>
      <c r="AI17" s="25"/>
    </row>
    <row r="18" spans="13:35">
      <c r="M18">
        <v>16</v>
      </c>
      <c r="N18" t="s">
        <v>11</v>
      </c>
      <c r="O18">
        <v>9</v>
      </c>
      <c r="P18" t="s">
        <v>8</v>
      </c>
      <c r="Q18">
        <v>17500</v>
      </c>
      <c r="R18" t="s">
        <v>13</v>
      </c>
      <c r="S18" t="s">
        <v>10</v>
      </c>
      <c r="T18">
        <v>12425</v>
      </c>
      <c r="U18" s="16">
        <v>0.72273792799640202</v>
      </c>
      <c r="V18" s="16">
        <v>0.97604531833788155</v>
      </c>
      <c r="W18" t="s">
        <v>29</v>
      </c>
      <c r="AG18" s="25"/>
      <c r="AH18" s="25"/>
      <c r="AI18" s="25"/>
    </row>
    <row r="19" spans="13:35">
      <c r="M19">
        <v>17</v>
      </c>
      <c r="N19" t="s">
        <v>7</v>
      </c>
      <c r="O19">
        <v>3</v>
      </c>
      <c r="P19" t="s">
        <v>18</v>
      </c>
      <c r="Q19">
        <v>9500</v>
      </c>
      <c r="R19" t="s">
        <v>9</v>
      </c>
      <c r="S19" t="s">
        <v>16</v>
      </c>
      <c r="T19">
        <v>6745</v>
      </c>
      <c r="U19" s="16">
        <v>-0.56530986447243314</v>
      </c>
      <c r="V19" s="16">
        <v>-0.57414430490463619</v>
      </c>
      <c r="W19" t="s">
        <v>28</v>
      </c>
      <c r="AG19" s="25"/>
      <c r="AH19" s="25"/>
      <c r="AI19" s="25"/>
    </row>
    <row r="20" spans="13:35">
      <c r="M20">
        <v>18</v>
      </c>
      <c r="N20" t="s">
        <v>19</v>
      </c>
      <c r="O20">
        <v>11</v>
      </c>
      <c r="P20" t="s">
        <v>14</v>
      </c>
      <c r="Q20">
        <v>23200</v>
      </c>
      <c r="R20" t="s">
        <v>13</v>
      </c>
      <c r="S20" t="s">
        <v>10</v>
      </c>
      <c r="T20">
        <v>16472</v>
      </c>
      <c r="U20" s="16">
        <v>1.640471980130447</v>
      </c>
      <c r="V20" s="16">
        <v>1.4927751927520541</v>
      </c>
      <c r="W20" t="s">
        <v>29</v>
      </c>
      <c r="AG20" s="25"/>
      <c r="AH20" s="25"/>
      <c r="AI20" s="25"/>
    </row>
    <row r="21" spans="13:35">
      <c r="M21">
        <v>19</v>
      </c>
      <c r="N21" t="s">
        <v>7</v>
      </c>
      <c r="O21">
        <v>2</v>
      </c>
      <c r="P21" t="s">
        <v>12</v>
      </c>
      <c r="Q21">
        <v>8800</v>
      </c>
      <c r="R21" t="s">
        <v>15</v>
      </c>
      <c r="S21" t="s">
        <v>10</v>
      </c>
      <c r="T21">
        <v>6248</v>
      </c>
      <c r="U21" s="16">
        <v>-0.6780140463134563</v>
      </c>
      <c r="V21" s="16">
        <v>-0.8325092421117225</v>
      </c>
      <c r="W21" t="s">
        <v>28</v>
      </c>
    </row>
    <row r="22" spans="13:35">
      <c r="M22">
        <v>20</v>
      </c>
      <c r="N22" t="s">
        <v>17</v>
      </c>
      <c r="O22">
        <v>0.5</v>
      </c>
      <c r="P22" t="s">
        <v>18</v>
      </c>
      <c r="Q22">
        <v>5500</v>
      </c>
      <c r="R22" t="s">
        <v>9</v>
      </c>
      <c r="S22" t="s">
        <v>16</v>
      </c>
      <c r="T22">
        <v>3905</v>
      </c>
      <c r="U22" s="16">
        <v>-1.2093337607068508</v>
      </c>
      <c r="V22" s="16">
        <v>-1.220056647922352</v>
      </c>
      <c r="W22" t="s">
        <v>30</v>
      </c>
    </row>
    <row r="23" spans="13:35">
      <c r="M23">
        <v>21</v>
      </c>
      <c r="N23" t="s">
        <v>11</v>
      </c>
      <c r="O23">
        <v>7</v>
      </c>
      <c r="P23" t="s">
        <v>12</v>
      </c>
      <c r="Q23">
        <v>15800</v>
      </c>
      <c r="R23" t="s">
        <v>13</v>
      </c>
      <c r="S23" t="s">
        <v>10</v>
      </c>
      <c r="T23">
        <v>11218</v>
      </c>
      <c r="U23" s="16">
        <v>0.44902777209677452</v>
      </c>
      <c r="V23" s="16">
        <v>0.45931544392370893</v>
      </c>
      <c r="W23" t="s">
        <v>29</v>
      </c>
    </row>
    <row r="24" spans="13:35">
      <c r="M24">
        <v>22</v>
      </c>
      <c r="N24" t="s">
        <v>7</v>
      </c>
      <c r="O24">
        <v>5</v>
      </c>
      <c r="P24" t="s">
        <v>14</v>
      </c>
      <c r="Q24">
        <v>12700</v>
      </c>
      <c r="R24" t="s">
        <v>15</v>
      </c>
      <c r="S24" t="s">
        <v>10</v>
      </c>
      <c r="T24">
        <v>9017</v>
      </c>
      <c r="U24" s="16">
        <v>-5.0090747484899098E-2</v>
      </c>
      <c r="V24" s="16">
        <v>-5.7414430490463644E-2</v>
      </c>
      <c r="W24" t="s">
        <v>28</v>
      </c>
    </row>
    <row r="25" spans="13:35">
      <c r="M25">
        <v>23</v>
      </c>
      <c r="N25" t="s">
        <v>7</v>
      </c>
      <c r="O25">
        <v>3</v>
      </c>
      <c r="P25" t="s">
        <v>8</v>
      </c>
      <c r="Q25">
        <v>9600</v>
      </c>
      <c r="R25" t="s">
        <v>15</v>
      </c>
      <c r="S25" t="s">
        <v>16</v>
      </c>
      <c r="T25">
        <v>6816</v>
      </c>
      <c r="U25" s="16">
        <v>-0.54920926706657269</v>
      </c>
      <c r="V25" s="16">
        <v>-0.57414430490463619</v>
      </c>
      <c r="W25" t="s">
        <v>28</v>
      </c>
    </row>
    <row r="26" spans="13:35">
      <c r="M26">
        <v>24</v>
      </c>
      <c r="N26" t="s">
        <v>19</v>
      </c>
      <c r="O26">
        <v>13</v>
      </c>
      <c r="P26" t="s">
        <v>18</v>
      </c>
      <c r="Q26">
        <v>25500</v>
      </c>
      <c r="R26" t="s">
        <v>13</v>
      </c>
      <c r="S26" t="s">
        <v>10</v>
      </c>
      <c r="T26">
        <v>18105</v>
      </c>
      <c r="U26" s="16">
        <v>2.0107857204652371</v>
      </c>
      <c r="V26" s="16">
        <v>2.0095050671662267</v>
      </c>
      <c r="W26" t="s">
        <v>29</v>
      </c>
    </row>
    <row r="27" spans="13:35">
      <c r="M27">
        <v>25</v>
      </c>
      <c r="N27" t="s">
        <v>17</v>
      </c>
      <c r="O27">
        <v>1</v>
      </c>
      <c r="P27" t="s">
        <v>12</v>
      </c>
      <c r="Q27">
        <v>6100</v>
      </c>
      <c r="R27" t="s">
        <v>9</v>
      </c>
      <c r="S27" t="s">
        <v>16</v>
      </c>
      <c r="T27">
        <v>4331</v>
      </c>
      <c r="U27" s="16">
        <v>-1.1127301762716881</v>
      </c>
      <c r="V27" s="16">
        <v>-1.0908741793188088</v>
      </c>
      <c r="W27" t="s">
        <v>30</v>
      </c>
    </row>
    <row r="28" spans="13:35">
      <c r="M28">
        <v>26</v>
      </c>
      <c r="N28" t="s">
        <v>11</v>
      </c>
      <c r="O28">
        <v>8</v>
      </c>
      <c r="P28" t="s">
        <v>14</v>
      </c>
      <c r="Q28">
        <v>16200</v>
      </c>
      <c r="R28" t="s">
        <v>13</v>
      </c>
      <c r="S28" t="s">
        <v>10</v>
      </c>
      <c r="T28">
        <v>11502</v>
      </c>
      <c r="U28" s="16">
        <v>0.51343016172021627</v>
      </c>
      <c r="V28" s="16">
        <v>0.71768038113079524</v>
      </c>
      <c r="W28" t="s">
        <v>29</v>
      </c>
    </row>
    <row r="29" spans="13:35">
      <c r="M29">
        <v>27</v>
      </c>
      <c r="N29" t="s">
        <v>7</v>
      </c>
      <c r="O29">
        <v>4</v>
      </c>
      <c r="P29" t="s">
        <v>8</v>
      </c>
      <c r="Q29">
        <v>10500</v>
      </c>
      <c r="R29" t="s">
        <v>15</v>
      </c>
      <c r="S29" t="s">
        <v>10</v>
      </c>
      <c r="T29">
        <v>7455</v>
      </c>
      <c r="U29" s="16">
        <v>-0.4043038904138288</v>
      </c>
      <c r="V29" s="16">
        <v>-0.31577936769754994</v>
      </c>
      <c r="W29" t="s">
        <v>28</v>
      </c>
    </row>
    <row r="30" spans="13:35">
      <c r="M30">
        <v>28</v>
      </c>
      <c r="N30" t="s">
        <v>7</v>
      </c>
      <c r="O30">
        <v>2</v>
      </c>
      <c r="P30" t="s">
        <v>18</v>
      </c>
      <c r="Q30">
        <v>8400</v>
      </c>
      <c r="R30" t="s">
        <v>9</v>
      </c>
      <c r="S30" t="s">
        <v>16</v>
      </c>
      <c r="T30">
        <v>5964</v>
      </c>
      <c r="U30" s="16">
        <v>-0.74241643593689799</v>
      </c>
      <c r="V30" s="16">
        <v>-0.8325092421117225</v>
      </c>
      <c r="W30" t="s">
        <v>28</v>
      </c>
    </row>
    <row r="31" spans="13:35">
      <c r="M31">
        <v>29</v>
      </c>
      <c r="N31" t="s">
        <v>11</v>
      </c>
      <c r="O31">
        <v>6</v>
      </c>
      <c r="P31" t="s">
        <v>12</v>
      </c>
      <c r="Q31">
        <v>14500</v>
      </c>
      <c r="R31" t="s">
        <v>13</v>
      </c>
      <c r="S31" t="s">
        <v>10</v>
      </c>
      <c r="T31">
        <v>10295</v>
      </c>
      <c r="U31" s="16">
        <v>0.23972000582058881</v>
      </c>
      <c r="V31" s="16">
        <v>0.20095050671662265</v>
      </c>
      <c r="W31" t="s">
        <v>29</v>
      </c>
    </row>
    <row r="32" spans="13:35">
      <c r="M32">
        <v>30</v>
      </c>
      <c r="N32" t="s">
        <v>7</v>
      </c>
      <c r="O32">
        <v>3</v>
      </c>
      <c r="P32" t="s">
        <v>14</v>
      </c>
      <c r="Q32">
        <v>9300</v>
      </c>
      <c r="R32" t="s">
        <v>15</v>
      </c>
      <c r="S32" t="s">
        <v>10</v>
      </c>
      <c r="T32">
        <v>6603</v>
      </c>
      <c r="U32" s="16">
        <v>-0.59751105928415404</v>
      </c>
      <c r="V32" s="16">
        <v>-0.57414430490463619</v>
      </c>
      <c r="W32" t="s">
        <v>28</v>
      </c>
    </row>
    <row r="33" spans="13:34">
      <c r="M33">
        <v>32</v>
      </c>
      <c r="N33" t="s">
        <v>17</v>
      </c>
      <c r="O33">
        <v>1</v>
      </c>
      <c r="P33" t="s">
        <v>14</v>
      </c>
      <c r="Q33">
        <v>6400</v>
      </c>
      <c r="R33" t="s">
        <v>9</v>
      </c>
      <c r="S33" t="s">
        <v>10</v>
      </c>
      <c r="T33">
        <v>4544</v>
      </c>
      <c r="U33" s="16">
        <v>-1.0644283840541069</v>
      </c>
      <c r="V33" s="16">
        <v>-1.0908741793188088</v>
      </c>
      <c r="W33" t="s">
        <v>30</v>
      </c>
    </row>
    <row r="34" spans="13:34">
      <c r="M34">
        <v>33</v>
      </c>
      <c r="N34" t="s">
        <v>7</v>
      </c>
      <c r="O34">
        <v>5</v>
      </c>
      <c r="P34" t="s">
        <v>12</v>
      </c>
      <c r="Q34">
        <v>11800</v>
      </c>
      <c r="R34" t="s">
        <v>15</v>
      </c>
      <c r="S34" t="s">
        <v>10</v>
      </c>
      <c r="T34">
        <v>8378</v>
      </c>
      <c r="U34" s="16">
        <v>-0.19499612413764306</v>
      </c>
      <c r="V34" s="16">
        <v>-5.7414430490463644E-2</v>
      </c>
      <c r="W34" t="s">
        <v>28</v>
      </c>
    </row>
    <row r="35" spans="13:34">
      <c r="M35">
        <v>34</v>
      </c>
      <c r="N35" t="s">
        <v>11</v>
      </c>
      <c r="O35">
        <v>9</v>
      </c>
      <c r="P35" t="s">
        <v>18</v>
      </c>
      <c r="Q35">
        <v>17200</v>
      </c>
      <c r="R35" t="s">
        <v>13</v>
      </c>
      <c r="S35" t="s">
        <v>10</v>
      </c>
      <c r="T35">
        <v>12212</v>
      </c>
      <c r="U35" s="16">
        <v>0.67443613577882067</v>
      </c>
      <c r="V35" s="16">
        <v>0.97604531833788155</v>
      </c>
      <c r="W35" t="s">
        <v>29</v>
      </c>
    </row>
    <row r="36" spans="13:34">
      <c r="M36">
        <v>35</v>
      </c>
      <c r="N36" t="s">
        <v>7</v>
      </c>
      <c r="O36">
        <v>2</v>
      </c>
      <c r="P36" t="s">
        <v>8</v>
      </c>
      <c r="Q36">
        <v>8600</v>
      </c>
      <c r="R36" t="s">
        <v>9</v>
      </c>
      <c r="S36" t="s">
        <v>16</v>
      </c>
      <c r="T36">
        <v>6106</v>
      </c>
      <c r="U36" s="16">
        <v>-0.71021524112517709</v>
      </c>
      <c r="V36" s="16">
        <v>-0.8325092421117225</v>
      </c>
      <c r="W36" t="s">
        <v>28</v>
      </c>
    </row>
    <row r="37" spans="13:34">
      <c r="M37">
        <v>36</v>
      </c>
      <c r="N37" t="s">
        <v>7</v>
      </c>
      <c r="O37">
        <v>4</v>
      </c>
      <c r="P37" t="s">
        <v>14</v>
      </c>
      <c r="Q37">
        <v>10200</v>
      </c>
      <c r="R37" t="s">
        <v>15</v>
      </c>
      <c r="S37" t="s">
        <v>10</v>
      </c>
      <c r="T37">
        <v>7242</v>
      </c>
      <c r="U37" s="16">
        <v>-0.4526056826314101</v>
      </c>
      <c r="V37" s="16">
        <v>-0.31577936769754994</v>
      </c>
      <c r="W37" t="s">
        <v>28</v>
      </c>
    </row>
    <row r="38" spans="13:34">
      <c r="M38">
        <v>37</v>
      </c>
      <c r="N38" t="s">
        <v>17</v>
      </c>
      <c r="O38">
        <v>1</v>
      </c>
      <c r="P38" t="s">
        <v>12</v>
      </c>
      <c r="Q38">
        <v>5800</v>
      </c>
      <c r="R38" t="s">
        <v>9</v>
      </c>
      <c r="S38" t="s">
        <v>16</v>
      </c>
      <c r="T38">
        <v>4118</v>
      </c>
      <c r="U38" s="16">
        <v>-1.1610319684892694</v>
      </c>
      <c r="V38" s="16">
        <v>-1.0908741793188088</v>
      </c>
      <c r="W38" t="s">
        <v>30</v>
      </c>
    </row>
    <row r="39" spans="13:34">
      <c r="M39">
        <v>38</v>
      </c>
      <c r="N39" t="s">
        <v>19</v>
      </c>
      <c r="O39">
        <v>11</v>
      </c>
      <c r="P39" t="s">
        <v>14</v>
      </c>
      <c r="Q39">
        <v>23800</v>
      </c>
      <c r="R39" t="s">
        <v>13</v>
      </c>
      <c r="S39" t="s">
        <v>10</v>
      </c>
      <c r="T39">
        <v>16898</v>
      </c>
      <c r="U39" s="16">
        <v>1.7370755645656097</v>
      </c>
      <c r="V39" s="16">
        <v>1.4927751927520541</v>
      </c>
      <c r="W39" t="s">
        <v>29</v>
      </c>
    </row>
    <row r="40" spans="13:34">
      <c r="M40">
        <v>39</v>
      </c>
      <c r="N40" t="s">
        <v>7</v>
      </c>
      <c r="O40">
        <v>3</v>
      </c>
      <c r="P40" t="s">
        <v>18</v>
      </c>
      <c r="Q40">
        <v>9700</v>
      </c>
      <c r="R40" t="s">
        <v>15</v>
      </c>
      <c r="S40" t="s">
        <v>16</v>
      </c>
      <c r="T40">
        <v>6887</v>
      </c>
      <c r="U40" s="16">
        <v>-0.53310866966071235</v>
      </c>
      <c r="V40" s="16">
        <v>-0.57414430490463619</v>
      </c>
      <c r="W40" t="s">
        <v>28</v>
      </c>
    </row>
    <row r="41" spans="13:34">
      <c r="M41">
        <v>40</v>
      </c>
      <c r="N41" t="s">
        <v>11</v>
      </c>
      <c r="O41">
        <v>7</v>
      </c>
      <c r="P41" t="s">
        <v>8</v>
      </c>
      <c r="Q41">
        <v>15500</v>
      </c>
      <c r="R41" t="s">
        <v>13</v>
      </c>
      <c r="S41" t="s">
        <v>10</v>
      </c>
      <c r="T41">
        <v>11005</v>
      </c>
      <c r="U41" s="16">
        <v>0.40072597987919323</v>
      </c>
      <c r="V41" s="16">
        <v>0.45931544392370893</v>
      </c>
      <c r="W41" t="s">
        <v>29</v>
      </c>
    </row>
    <row r="42" spans="13:34">
      <c r="M42">
        <v>41</v>
      </c>
      <c r="N42" t="s">
        <v>7</v>
      </c>
      <c r="O42">
        <v>5</v>
      </c>
      <c r="P42" t="s">
        <v>12</v>
      </c>
      <c r="Q42">
        <v>12100</v>
      </c>
      <c r="R42" t="s">
        <v>15</v>
      </c>
      <c r="S42" t="s">
        <v>10</v>
      </c>
      <c r="T42">
        <v>8591</v>
      </c>
      <c r="U42" s="16">
        <v>-0.14669433192006173</v>
      </c>
      <c r="V42" s="16">
        <v>-5.7414430490463644E-2</v>
      </c>
      <c r="W42" t="s">
        <v>28</v>
      </c>
    </row>
    <row r="43" spans="13:34">
      <c r="M43">
        <v>42</v>
      </c>
      <c r="N43" t="s">
        <v>7</v>
      </c>
      <c r="O43">
        <v>2</v>
      </c>
      <c r="P43" t="s">
        <v>14</v>
      </c>
      <c r="Q43">
        <v>8300</v>
      </c>
      <c r="R43" t="s">
        <v>9</v>
      </c>
      <c r="S43" t="s">
        <v>16</v>
      </c>
      <c r="T43">
        <v>5893</v>
      </c>
      <c r="U43" s="16">
        <v>-0.75851703334275844</v>
      </c>
      <c r="V43" s="16">
        <v>-0.8325092421117225</v>
      </c>
      <c r="W43" t="s">
        <v>28</v>
      </c>
    </row>
    <row r="44" spans="13:34">
      <c r="M44">
        <v>43</v>
      </c>
      <c r="N44" t="s">
        <v>17</v>
      </c>
      <c r="O44">
        <v>0.5</v>
      </c>
      <c r="P44" t="s">
        <v>18</v>
      </c>
      <c r="Q44">
        <v>5600</v>
      </c>
      <c r="R44" t="s">
        <v>9</v>
      </c>
      <c r="S44" t="s">
        <v>10</v>
      </c>
      <c r="T44">
        <v>3976</v>
      </c>
      <c r="U44" s="16">
        <v>-1.1932331633009903</v>
      </c>
      <c r="V44" s="16">
        <v>-1.220056647922352</v>
      </c>
      <c r="W44" t="s">
        <v>30</v>
      </c>
    </row>
    <row r="45" spans="13:34">
      <c r="M45">
        <v>44</v>
      </c>
      <c r="N45" t="s">
        <v>11</v>
      </c>
      <c r="O45">
        <v>8</v>
      </c>
      <c r="P45" t="s">
        <v>18</v>
      </c>
      <c r="Q45">
        <v>16500</v>
      </c>
      <c r="R45" t="s">
        <v>13</v>
      </c>
      <c r="S45" t="s">
        <v>10</v>
      </c>
      <c r="T45">
        <v>11715</v>
      </c>
      <c r="U45" s="16">
        <v>0.56173195393779762</v>
      </c>
      <c r="V45" s="16">
        <v>0.71768038113079524</v>
      </c>
      <c r="W45" t="s">
        <v>29</v>
      </c>
    </row>
    <row r="46" spans="13:34">
      <c r="M46">
        <v>45</v>
      </c>
      <c r="N46" t="s">
        <v>7</v>
      </c>
      <c r="O46">
        <v>4</v>
      </c>
      <c r="P46" t="s">
        <v>12</v>
      </c>
      <c r="Q46">
        <v>10900</v>
      </c>
      <c r="R46" t="s">
        <v>15</v>
      </c>
      <c r="S46" t="s">
        <v>10</v>
      </c>
      <c r="T46">
        <v>7739</v>
      </c>
      <c r="U46" s="16">
        <v>-0.339901500790387</v>
      </c>
      <c r="V46" s="16">
        <v>-0.31577936769754994</v>
      </c>
      <c r="W46" t="s">
        <v>28</v>
      </c>
      <c r="AG46" s="3" t="s">
        <v>55</v>
      </c>
    </row>
    <row r="47" spans="13:34">
      <c r="M47">
        <v>46</v>
      </c>
      <c r="N47" t="s">
        <v>19</v>
      </c>
      <c r="O47">
        <v>12</v>
      </c>
      <c r="P47" t="s">
        <v>12</v>
      </c>
      <c r="Q47">
        <v>24500</v>
      </c>
      <c r="R47" t="s">
        <v>13</v>
      </c>
      <c r="S47" t="s">
        <v>10</v>
      </c>
      <c r="T47">
        <v>17395</v>
      </c>
      <c r="U47" s="16">
        <v>1.8497797464066328</v>
      </c>
      <c r="V47" s="16">
        <v>1.7511401299591405</v>
      </c>
      <c r="W47" t="s">
        <v>29</v>
      </c>
      <c r="AG47" s="25" t="s">
        <v>56</v>
      </c>
      <c r="AH47" s="25"/>
    </row>
    <row r="48" spans="13:34">
      <c r="M48">
        <v>47</v>
      </c>
      <c r="N48" t="s">
        <v>7</v>
      </c>
      <c r="O48">
        <v>3</v>
      </c>
      <c r="P48" t="s">
        <v>8</v>
      </c>
      <c r="Q48">
        <v>9400</v>
      </c>
      <c r="R48" t="s">
        <v>15</v>
      </c>
      <c r="S48" t="s">
        <v>16</v>
      </c>
      <c r="T48">
        <v>6674</v>
      </c>
      <c r="U48" s="16">
        <v>-0.58141046187829359</v>
      </c>
      <c r="V48" s="16">
        <v>-0.57414430490463619</v>
      </c>
      <c r="W48" t="s">
        <v>28</v>
      </c>
      <c r="AG48" s="25"/>
      <c r="AH48" s="25"/>
    </row>
    <row r="49" spans="9:35">
      <c r="M49">
        <v>48</v>
      </c>
      <c r="N49" t="s">
        <v>7</v>
      </c>
      <c r="O49">
        <v>2</v>
      </c>
      <c r="P49" t="s">
        <v>18</v>
      </c>
      <c r="Q49">
        <v>8700</v>
      </c>
      <c r="R49" t="s">
        <v>9</v>
      </c>
      <c r="S49" t="s">
        <v>16</v>
      </c>
      <c r="T49">
        <v>6177</v>
      </c>
      <c r="U49" s="16">
        <v>-0.69411464371931675</v>
      </c>
      <c r="V49" s="16">
        <v>-0.8325092421117225</v>
      </c>
      <c r="W49" t="s">
        <v>28</v>
      </c>
    </row>
    <row r="50" spans="9:35">
      <c r="M50">
        <v>49</v>
      </c>
      <c r="N50" t="s">
        <v>11</v>
      </c>
      <c r="O50">
        <v>6</v>
      </c>
      <c r="P50" t="s">
        <v>14</v>
      </c>
      <c r="Q50">
        <v>14300</v>
      </c>
      <c r="R50" t="s">
        <v>13</v>
      </c>
      <c r="S50" t="s">
        <v>10</v>
      </c>
      <c r="T50">
        <v>10153</v>
      </c>
      <c r="U50" s="16">
        <v>0.20751881100886793</v>
      </c>
      <c r="V50" s="16">
        <v>0.20095050671662265</v>
      </c>
      <c r="W50" t="s">
        <v>29</v>
      </c>
      <c r="AG50" s="25" t="s">
        <v>57</v>
      </c>
      <c r="AH50" s="25"/>
      <c r="AI50" s="25"/>
    </row>
    <row r="51" spans="9:35">
      <c r="M51">
        <v>50</v>
      </c>
      <c r="N51" t="s">
        <v>7</v>
      </c>
      <c r="O51">
        <v>5</v>
      </c>
      <c r="P51" t="s">
        <v>8</v>
      </c>
      <c r="Q51">
        <v>12500</v>
      </c>
      <c r="R51" t="s">
        <v>15</v>
      </c>
      <c r="S51" t="s">
        <v>10</v>
      </c>
      <c r="T51">
        <v>8875</v>
      </c>
      <c r="U51" s="16">
        <v>-8.2291942296619985E-2</v>
      </c>
      <c r="V51" s="16">
        <v>-5.7414430490463644E-2</v>
      </c>
      <c r="W51" t="s">
        <v>28</v>
      </c>
      <c r="AG51" s="25"/>
      <c r="AH51" s="25"/>
      <c r="AI51" s="25"/>
    </row>
    <row r="52" spans="9:35">
      <c r="M52">
        <v>51</v>
      </c>
      <c r="N52" t="s">
        <v>17</v>
      </c>
      <c r="O52">
        <v>1</v>
      </c>
      <c r="P52" t="s">
        <v>18</v>
      </c>
      <c r="Q52">
        <v>6000</v>
      </c>
      <c r="R52" t="s">
        <v>9</v>
      </c>
      <c r="S52" t="s">
        <v>16</v>
      </c>
      <c r="T52">
        <v>4260</v>
      </c>
      <c r="U52" s="16">
        <v>-1.1288307736775485</v>
      </c>
      <c r="V52" s="16">
        <v>-1.0908741793188088</v>
      </c>
      <c r="W52" t="s">
        <v>30</v>
      </c>
      <c r="AG52" s="25"/>
      <c r="AH52" s="25"/>
      <c r="AI52" s="25"/>
    </row>
    <row r="53" spans="9:35">
      <c r="M53">
        <v>52</v>
      </c>
      <c r="N53" t="s">
        <v>7</v>
      </c>
      <c r="O53">
        <v>3</v>
      </c>
      <c r="P53" t="s">
        <v>12</v>
      </c>
      <c r="Q53">
        <v>9700</v>
      </c>
      <c r="R53" t="s">
        <v>15</v>
      </c>
      <c r="S53" t="s">
        <v>10</v>
      </c>
      <c r="T53">
        <v>6887</v>
      </c>
      <c r="U53" s="16">
        <v>-0.53310866966071235</v>
      </c>
      <c r="V53" s="16">
        <v>-0.57414430490463619</v>
      </c>
      <c r="W53" t="s">
        <v>28</v>
      </c>
      <c r="AG53" s="25"/>
      <c r="AH53" s="25"/>
      <c r="AI53" s="25"/>
    </row>
    <row r="54" spans="9:35">
      <c r="I54" t="s">
        <v>31</v>
      </c>
      <c r="M54">
        <v>53</v>
      </c>
      <c r="N54" t="s">
        <v>11</v>
      </c>
      <c r="O54">
        <v>7</v>
      </c>
      <c r="P54" t="s">
        <v>8</v>
      </c>
      <c r="Q54">
        <v>16000</v>
      </c>
      <c r="R54" t="s">
        <v>13</v>
      </c>
      <c r="S54" t="s">
        <v>10</v>
      </c>
      <c r="T54">
        <v>11360</v>
      </c>
      <c r="U54" s="16">
        <v>0.48122896690849543</v>
      </c>
      <c r="V54" s="16">
        <v>0.45931544392370893</v>
      </c>
      <c r="W54" t="s">
        <v>29</v>
      </c>
    </row>
    <row r="55" spans="9:35">
      <c r="M55">
        <v>54</v>
      </c>
      <c r="N55" t="s">
        <v>7</v>
      </c>
      <c r="O55">
        <v>4</v>
      </c>
      <c r="P55" t="s">
        <v>14</v>
      </c>
      <c r="Q55">
        <v>10400</v>
      </c>
      <c r="R55" t="s">
        <v>15</v>
      </c>
      <c r="S55" t="s">
        <v>10</v>
      </c>
      <c r="T55">
        <v>7384</v>
      </c>
      <c r="U55" s="16">
        <v>-0.4204044878196892</v>
      </c>
      <c r="V55" s="16">
        <v>-0.31577936769754994</v>
      </c>
      <c r="W55" t="s">
        <v>28</v>
      </c>
      <c r="AG55" s="25" t="s">
        <v>58</v>
      </c>
      <c r="AH55" s="25"/>
      <c r="AI55" s="25"/>
    </row>
    <row r="56" spans="9:35">
      <c r="M56">
        <v>55</v>
      </c>
      <c r="N56" t="s">
        <v>19</v>
      </c>
      <c r="O56">
        <v>11</v>
      </c>
      <c r="P56" t="s">
        <v>8</v>
      </c>
      <c r="Q56">
        <v>23500</v>
      </c>
      <c r="R56" t="s">
        <v>13</v>
      </c>
      <c r="S56" t="s">
        <v>10</v>
      </c>
      <c r="T56">
        <v>16685</v>
      </c>
      <c r="U56" s="16">
        <v>1.6887737723480285</v>
      </c>
      <c r="V56" s="16">
        <v>1.4927751927520541</v>
      </c>
      <c r="W56" t="s">
        <v>29</v>
      </c>
      <c r="AG56" s="25"/>
      <c r="AH56" s="25"/>
      <c r="AI56" s="25"/>
    </row>
    <row r="57" spans="9:35">
      <c r="I57" t="s">
        <v>33</v>
      </c>
      <c r="M57">
        <v>56</v>
      </c>
      <c r="N57" t="s">
        <v>7</v>
      </c>
      <c r="O57">
        <v>2</v>
      </c>
      <c r="P57" t="s">
        <v>12</v>
      </c>
      <c r="Q57">
        <v>8900</v>
      </c>
      <c r="R57" t="s">
        <v>9</v>
      </c>
      <c r="S57" t="s">
        <v>16</v>
      </c>
      <c r="T57">
        <v>6319</v>
      </c>
      <c r="U57" s="16">
        <v>-0.66191344890759585</v>
      </c>
      <c r="V57" s="16">
        <v>-0.8325092421117225</v>
      </c>
      <c r="W57" t="s">
        <v>28</v>
      </c>
      <c r="AG57" s="25"/>
      <c r="AH57" s="25"/>
      <c r="AI57" s="25"/>
    </row>
    <row r="58" spans="9:35">
      <c r="M58">
        <v>57</v>
      </c>
      <c r="N58" t="s">
        <v>17</v>
      </c>
      <c r="O58">
        <v>1</v>
      </c>
      <c r="P58" t="s">
        <v>14</v>
      </c>
      <c r="Q58">
        <v>6300</v>
      </c>
      <c r="R58" t="s">
        <v>9</v>
      </c>
      <c r="S58" t="s">
        <v>10</v>
      </c>
      <c r="T58">
        <v>4473</v>
      </c>
      <c r="U58" s="16">
        <v>-1.0805289814599672</v>
      </c>
      <c r="V58" s="16">
        <v>-1.0908741793188088</v>
      </c>
      <c r="W58" t="s">
        <v>30</v>
      </c>
    </row>
    <row r="59" spans="9:35">
      <c r="M59">
        <v>58</v>
      </c>
      <c r="N59" t="s">
        <v>11</v>
      </c>
      <c r="O59">
        <v>8</v>
      </c>
      <c r="P59" t="s">
        <v>12</v>
      </c>
      <c r="Q59">
        <v>16800</v>
      </c>
      <c r="R59" t="s">
        <v>13</v>
      </c>
      <c r="S59" t="s">
        <v>10</v>
      </c>
      <c r="T59">
        <v>11928</v>
      </c>
      <c r="U59" s="16">
        <v>0.61003374615537898</v>
      </c>
      <c r="V59" s="16">
        <v>0.71768038113079524</v>
      </c>
      <c r="W59" t="s">
        <v>29</v>
      </c>
    </row>
    <row r="60" spans="9:35" ht="1.5" customHeight="1">
      <c r="M60">
        <v>59</v>
      </c>
      <c r="N60" t="s">
        <v>7</v>
      </c>
      <c r="O60">
        <v>5</v>
      </c>
      <c r="P60" t="s">
        <v>18</v>
      </c>
      <c r="Q60">
        <v>12000</v>
      </c>
      <c r="R60" t="s">
        <v>15</v>
      </c>
      <c r="S60" t="s">
        <v>10</v>
      </c>
      <c r="T60">
        <v>8520</v>
      </c>
      <c r="U60" s="16">
        <v>-0.16279492932592218</v>
      </c>
      <c r="V60" s="16">
        <v>-5.7414430490463644E-2</v>
      </c>
      <c r="W60" t="s">
        <v>28</v>
      </c>
    </row>
    <row r="61" spans="9:35" ht="14.25" customHeight="1">
      <c r="I61" s="17" t="s">
        <v>34</v>
      </c>
      <c r="J61" s="17"/>
      <c r="K61" s="17"/>
      <c r="L61" s="17"/>
      <c r="M61">
        <v>60</v>
      </c>
      <c r="N61" t="s">
        <v>19</v>
      </c>
      <c r="O61">
        <v>13</v>
      </c>
      <c r="P61" t="s">
        <v>14</v>
      </c>
      <c r="Q61">
        <v>25800</v>
      </c>
      <c r="R61" t="s">
        <v>13</v>
      </c>
      <c r="S61" t="s">
        <v>10</v>
      </c>
      <c r="T61">
        <v>18318</v>
      </c>
      <c r="U61" s="16">
        <v>2.0590875126828188</v>
      </c>
      <c r="V61" s="16">
        <v>2.0095050671662267</v>
      </c>
      <c r="W61" t="s">
        <v>29</v>
      </c>
    </row>
    <row r="62" spans="9:35">
      <c r="I62" s="17"/>
      <c r="J62" s="17"/>
      <c r="K62" s="17"/>
      <c r="L62" s="17"/>
      <c r="M62">
        <v>61</v>
      </c>
      <c r="N62" t="s">
        <v>7</v>
      </c>
      <c r="O62">
        <v>3</v>
      </c>
      <c r="P62" t="s">
        <v>8</v>
      </c>
      <c r="Q62">
        <v>9500</v>
      </c>
      <c r="R62" t="s">
        <v>15</v>
      </c>
      <c r="S62" t="s">
        <v>10</v>
      </c>
      <c r="T62">
        <v>6745</v>
      </c>
      <c r="U62" s="16">
        <v>-0.56530986447243314</v>
      </c>
      <c r="V62" s="16">
        <v>-0.57414430490463619</v>
      </c>
      <c r="W62" t="s">
        <v>28</v>
      </c>
    </row>
    <row r="63" spans="9:35">
      <c r="I63" s="17"/>
      <c r="J63" s="17"/>
      <c r="K63" s="17"/>
      <c r="L63" s="17"/>
      <c r="M63">
        <v>62</v>
      </c>
      <c r="N63" t="s">
        <v>11</v>
      </c>
      <c r="O63">
        <v>6</v>
      </c>
      <c r="P63" t="s">
        <v>12</v>
      </c>
      <c r="Q63">
        <v>14800</v>
      </c>
      <c r="R63" t="s">
        <v>13</v>
      </c>
      <c r="S63" t="s">
        <v>10</v>
      </c>
      <c r="T63">
        <v>10508</v>
      </c>
      <c r="U63" s="16">
        <v>0.28802179803817013</v>
      </c>
      <c r="V63" s="16">
        <v>0.20095050671662265</v>
      </c>
      <c r="W63" t="s">
        <v>29</v>
      </c>
    </row>
    <row r="64" spans="9:35">
      <c r="I64" s="17"/>
      <c r="J64" s="17"/>
      <c r="K64" s="17"/>
      <c r="L64" s="17"/>
      <c r="M64">
        <v>63</v>
      </c>
      <c r="N64" t="s">
        <v>7</v>
      </c>
      <c r="O64">
        <v>4</v>
      </c>
      <c r="P64" t="s">
        <v>14</v>
      </c>
      <c r="Q64">
        <v>11000</v>
      </c>
      <c r="R64" t="s">
        <v>15</v>
      </c>
      <c r="S64" t="s">
        <v>10</v>
      </c>
      <c r="T64">
        <v>7810</v>
      </c>
      <c r="U64" s="16">
        <v>-0.32380090338452661</v>
      </c>
      <c r="V64" s="16">
        <v>-0.31577936769754994</v>
      </c>
      <c r="W64" t="s">
        <v>28</v>
      </c>
    </row>
    <row r="65" spans="9:29">
      <c r="I65" s="17"/>
      <c r="J65" s="17"/>
      <c r="K65" s="17"/>
      <c r="L65" s="17"/>
      <c r="M65">
        <v>64</v>
      </c>
      <c r="N65" t="s">
        <v>17</v>
      </c>
      <c r="O65">
        <v>1</v>
      </c>
      <c r="P65" t="s">
        <v>12</v>
      </c>
      <c r="Q65">
        <v>6000</v>
      </c>
      <c r="R65" t="s">
        <v>9</v>
      </c>
      <c r="S65" t="s">
        <v>16</v>
      </c>
      <c r="T65">
        <v>4260</v>
      </c>
      <c r="U65" s="16">
        <v>-1.1288307736775485</v>
      </c>
      <c r="V65" s="16">
        <v>-1.0908741793188088</v>
      </c>
      <c r="W65" t="s">
        <v>30</v>
      </c>
    </row>
    <row r="66" spans="9:29">
      <c r="I66" s="17"/>
      <c r="J66" s="17"/>
      <c r="K66" s="17"/>
      <c r="L66" s="17"/>
      <c r="M66">
        <v>65</v>
      </c>
      <c r="N66" t="s">
        <v>19</v>
      </c>
      <c r="O66">
        <v>12</v>
      </c>
      <c r="P66" t="s">
        <v>18</v>
      </c>
      <c r="Q66">
        <v>24200</v>
      </c>
      <c r="R66" t="s">
        <v>13</v>
      </c>
      <c r="S66" t="s">
        <v>10</v>
      </c>
      <c r="T66">
        <v>17182</v>
      </c>
      <c r="U66" s="16">
        <v>1.8014779541890515</v>
      </c>
      <c r="V66" s="16">
        <v>1.7511401299591405</v>
      </c>
      <c r="W66" t="s">
        <v>29</v>
      </c>
    </row>
    <row r="67" spans="9:29">
      <c r="M67">
        <v>66</v>
      </c>
      <c r="N67" t="s">
        <v>7</v>
      </c>
      <c r="O67">
        <v>2</v>
      </c>
      <c r="P67" t="s">
        <v>8</v>
      </c>
      <c r="Q67">
        <v>8800</v>
      </c>
      <c r="R67" t="s">
        <v>9</v>
      </c>
      <c r="S67" t="s">
        <v>16</v>
      </c>
      <c r="T67">
        <v>6248</v>
      </c>
      <c r="U67" s="16">
        <v>-0.6780140463134563</v>
      </c>
      <c r="V67" s="16">
        <v>-0.8325092421117225</v>
      </c>
      <c r="W67" t="s">
        <v>28</v>
      </c>
    </row>
    <row r="68" spans="9:29">
      <c r="M68">
        <v>67</v>
      </c>
      <c r="N68" t="s">
        <v>11</v>
      </c>
      <c r="O68">
        <v>9</v>
      </c>
      <c r="P68" t="s">
        <v>14</v>
      </c>
      <c r="Q68">
        <v>17000</v>
      </c>
      <c r="R68" t="s">
        <v>13</v>
      </c>
      <c r="S68" t="s">
        <v>10</v>
      </c>
      <c r="T68">
        <v>12070</v>
      </c>
      <c r="U68" s="16">
        <v>0.64223494096709977</v>
      </c>
      <c r="V68" s="16">
        <v>0.97604531833788155</v>
      </c>
      <c r="W68" t="s">
        <v>29</v>
      </c>
      <c r="Y68" s="3" t="s">
        <v>59</v>
      </c>
    </row>
    <row r="69" spans="9:29" ht="12.75" customHeight="1">
      <c r="M69">
        <v>68</v>
      </c>
      <c r="N69" t="s">
        <v>7</v>
      </c>
      <c r="O69">
        <v>5</v>
      </c>
      <c r="P69" t="s">
        <v>12</v>
      </c>
      <c r="Q69">
        <v>11900</v>
      </c>
      <c r="R69" t="s">
        <v>15</v>
      </c>
      <c r="S69" t="s">
        <v>10</v>
      </c>
      <c r="T69">
        <v>8449</v>
      </c>
      <c r="U69" s="16">
        <v>-0.17889552673178263</v>
      </c>
      <c r="V69" s="16">
        <v>-5.7414430490463644E-2</v>
      </c>
      <c r="W69" t="s">
        <v>28</v>
      </c>
      <c r="Y69" s="25" t="s">
        <v>60</v>
      </c>
      <c r="Z69" s="25"/>
      <c r="AA69" s="25"/>
      <c r="AB69" s="25"/>
      <c r="AC69" s="25"/>
    </row>
    <row r="70" spans="9:29">
      <c r="M70">
        <v>69</v>
      </c>
      <c r="N70" t="s">
        <v>17</v>
      </c>
      <c r="O70">
        <v>1</v>
      </c>
      <c r="P70" t="s">
        <v>14</v>
      </c>
      <c r="Q70">
        <v>6500</v>
      </c>
      <c r="R70" t="s">
        <v>9</v>
      </c>
      <c r="S70" t="s">
        <v>10</v>
      </c>
      <c r="T70">
        <v>4615</v>
      </c>
      <c r="U70" s="16">
        <v>-1.0483277866482463</v>
      </c>
      <c r="V70" s="16">
        <v>-1.0908741793188088</v>
      </c>
      <c r="W70" t="s">
        <v>30</v>
      </c>
      <c r="Y70" s="25"/>
      <c r="Z70" s="25"/>
      <c r="AA70" s="25"/>
      <c r="AB70" s="25"/>
      <c r="AC70" s="25"/>
    </row>
    <row r="71" spans="9:29">
      <c r="M71">
        <v>70</v>
      </c>
      <c r="N71" t="s">
        <v>19</v>
      </c>
      <c r="O71">
        <v>14</v>
      </c>
      <c r="P71" t="s">
        <v>12</v>
      </c>
      <c r="Q71">
        <v>26800</v>
      </c>
      <c r="R71" t="s">
        <v>13</v>
      </c>
      <c r="S71" t="s">
        <v>10</v>
      </c>
      <c r="T71">
        <v>19028</v>
      </c>
      <c r="U71" s="16">
        <v>2.220093486741423</v>
      </c>
      <c r="V71" s="16">
        <v>2.2678700043733131</v>
      </c>
      <c r="W71" t="s">
        <v>29</v>
      </c>
      <c r="Y71" s="25"/>
      <c r="Z71" s="25"/>
      <c r="AA71" s="25"/>
      <c r="AB71" s="25"/>
      <c r="AC71" s="25"/>
    </row>
    <row r="72" spans="9:29">
      <c r="M72">
        <v>71</v>
      </c>
      <c r="N72" t="s">
        <v>7</v>
      </c>
      <c r="O72">
        <v>3</v>
      </c>
      <c r="P72" t="s">
        <v>18</v>
      </c>
      <c r="Q72">
        <v>9800</v>
      </c>
      <c r="R72" t="s">
        <v>15</v>
      </c>
      <c r="S72" t="s">
        <v>16</v>
      </c>
      <c r="T72">
        <v>6958</v>
      </c>
      <c r="U72" s="16">
        <v>-0.5170080722548519</v>
      </c>
      <c r="V72" s="16">
        <v>-0.57414430490463619</v>
      </c>
      <c r="W72" t="s">
        <v>28</v>
      </c>
    </row>
    <row r="73" spans="9:29">
      <c r="M73">
        <v>72</v>
      </c>
      <c r="N73" t="s">
        <v>11</v>
      </c>
      <c r="O73">
        <v>7</v>
      </c>
      <c r="P73" t="s">
        <v>8</v>
      </c>
      <c r="Q73">
        <v>15900</v>
      </c>
      <c r="R73" t="s">
        <v>13</v>
      </c>
      <c r="S73" t="s">
        <v>10</v>
      </c>
      <c r="T73">
        <v>11289</v>
      </c>
      <c r="U73" s="16">
        <v>0.46512836950263498</v>
      </c>
      <c r="V73" s="16">
        <v>0.45931544392370893</v>
      </c>
      <c r="W73" t="s">
        <v>29</v>
      </c>
      <c r="Y73" s="25" t="s">
        <v>61</v>
      </c>
      <c r="Z73" s="25"/>
      <c r="AA73" s="25"/>
      <c r="AB73" s="25"/>
      <c r="AC73" s="25"/>
    </row>
    <row r="74" spans="9:29">
      <c r="M74">
        <v>73</v>
      </c>
      <c r="N74" t="s">
        <v>7</v>
      </c>
      <c r="O74">
        <v>4</v>
      </c>
      <c r="P74" t="s">
        <v>14</v>
      </c>
      <c r="Q74">
        <v>10700</v>
      </c>
      <c r="R74" t="s">
        <v>15</v>
      </c>
      <c r="S74" t="s">
        <v>10</v>
      </c>
      <c r="T74">
        <v>7597</v>
      </c>
      <c r="U74" s="16">
        <v>-0.3721026956021079</v>
      </c>
      <c r="V74" s="16">
        <v>-0.31577936769754994</v>
      </c>
      <c r="W74" t="s">
        <v>28</v>
      </c>
      <c r="Y74" s="25"/>
      <c r="Z74" s="25"/>
      <c r="AA74" s="25"/>
      <c r="AB74" s="25"/>
      <c r="AC74" s="25"/>
    </row>
    <row r="75" spans="9:29">
      <c r="M75">
        <v>74</v>
      </c>
      <c r="N75" t="s">
        <v>17</v>
      </c>
      <c r="O75">
        <v>0.5</v>
      </c>
      <c r="P75" t="s">
        <v>12</v>
      </c>
      <c r="Q75">
        <v>5600</v>
      </c>
      <c r="R75" t="s">
        <v>9</v>
      </c>
      <c r="S75" t="s">
        <v>16</v>
      </c>
      <c r="T75">
        <v>3976</v>
      </c>
      <c r="U75" s="16">
        <v>-1.1932331633009903</v>
      </c>
      <c r="V75" s="16">
        <v>-1.220056647922352</v>
      </c>
      <c r="W75" t="s">
        <v>30</v>
      </c>
      <c r="Y75" s="25"/>
      <c r="Z75" s="25"/>
      <c r="AA75" s="25"/>
      <c r="AB75" s="25"/>
      <c r="AC75" s="25"/>
    </row>
    <row r="76" spans="9:29">
      <c r="M76">
        <v>75</v>
      </c>
      <c r="N76" t="s">
        <v>19</v>
      </c>
      <c r="O76">
        <v>11</v>
      </c>
      <c r="P76" t="s">
        <v>8</v>
      </c>
      <c r="Q76">
        <v>23300</v>
      </c>
      <c r="R76" t="s">
        <v>13</v>
      </c>
      <c r="S76" t="s">
        <v>10</v>
      </c>
      <c r="T76">
        <v>16543</v>
      </c>
      <c r="U76" s="16">
        <v>1.6565725775363076</v>
      </c>
      <c r="V76" s="16">
        <v>1.4927751927520541</v>
      </c>
      <c r="W76" t="s">
        <v>29</v>
      </c>
    </row>
    <row r="77" spans="9:29" ht="12.75" customHeight="1">
      <c r="M77">
        <v>76</v>
      </c>
      <c r="N77" t="s">
        <v>7</v>
      </c>
      <c r="O77">
        <v>2</v>
      </c>
      <c r="P77" t="s">
        <v>14</v>
      </c>
      <c r="Q77">
        <v>8600</v>
      </c>
      <c r="R77" t="s">
        <v>9</v>
      </c>
      <c r="S77" t="s">
        <v>16</v>
      </c>
      <c r="T77">
        <v>6106</v>
      </c>
      <c r="U77" s="16">
        <v>-0.71021524112517709</v>
      </c>
      <c r="V77" s="16">
        <v>-0.8325092421117225</v>
      </c>
      <c r="W77" t="s">
        <v>28</v>
      </c>
      <c r="Y77" s="25" t="s">
        <v>62</v>
      </c>
      <c r="Z77" s="25"/>
      <c r="AA77" s="25"/>
      <c r="AB77" s="25"/>
      <c r="AC77" s="25"/>
    </row>
    <row r="78" spans="9:29">
      <c r="M78">
        <v>77</v>
      </c>
      <c r="N78" t="s">
        <v>11</v>
      </c>
      <c r="O78">
        <v>8</v>
      </c>
      <c r="P78" t="s">
        <v>18</v>
      </c>
      <c r="Q78">
        <v>16900</v>
      </c>
      <c r="R78" t="s">
        <v>13</v>
      </c>
      <c r="S78" t="s">
        <v>10</v>
      </c>
      <c r="T78">
        <v>11999</v>
      </c>
      <c r="U78" s="16">
        <v>0.62613434356123943</v>
      </c>
      <c r="V78" s="16">
        <v>0.71768038113079524</v>
      </c>
      <c r="W78" t="s">
        <v>29</v>
      </c>
      <c r="Y78" s="25"/>
      <c r="Z78" s="25"/>
      <c r="AA78" s="25"/>
      <c r="AB78" s="25"/>
      <c r="AC78" s="25"/>
    </row>
    <row r="79" spans="9:29">
      <c r="M79">
        <v>78</v>
      </c>
      <c r="N79" t="s">
        <v>7</v>
      </c>
      <c r="O79">
        <v>5</v>
      </c>
      <c r="P79" t="s">
        <v>12</v>
      </c>
      <c r="Q79">
        <v>12200</v>
      </c>
      <c r="R79" t="s">
        <v>15</v>
      </c>
      <c r="S79" t="s">
        <v>10</v>
      </c>
      <c r="T79">
        <v>8662</v>
      </c>
      <c r="U79" s="16">
        <v>-0.13059373451420131</v>
      </c>
      <c r="V79" s="16">
        <v>-5.7414430490463644E-2</v>
      </c>
      <c r="W79" t="s">
        <v>28</v>
      </c>
      <c r="Y79" s="25"/>
      <c r="Z79" s="25"/>
      <c r="AA79" s="25"/>
      <c r="AB79" s="25"/>
      <c r="AC79" s="25"/>
    </row>
    <row r="80" spans="9:29">
      <c r="M80">
        <v>79</v>
      </c>
      <c r="N80" t="s">
        <v>17</v>
      </c>
      <c r="O80">
        <v>1</v>
      </c>
      <c r="P80" t="s">
        <v>8</v>
      </c>
      <c r="Q80">
        <v>6100</v>
      </c>
      <c r="R80" t="s">
        <v>9</v>
      </c>
      <c r="S80" t="s">
        <v>10</v>
      </c>
      <c r="T80">
        <v>4331</v>
      </c>
      <c r="U80" s="16">
        <v>-1.1127301762716881</v>
      </c>
      <c r="V80" s="16">
        <v>-1.0908741793188088</v>
      </c>
      <c r="W80" t="s">
        <v>30</v>
      </c>
      <c r="Y80" s="25"/>
      <c r="Z80" s="25"/>
      <c r="AA80" s="25"/>
      <c r="AB80" s="25"/>
      <c r="AC80" s="25"/>
    </row>
    <row r="81" spans="13:29">
      <c r="M81">
        <v>80</v>
      </c>
      <c r="N81" t="s">
        <v>19</v>
      </c>
      <c r="O81">
        <v>13</v>
      </c>
      <c r="P81" t="s">
        <v>14</v>
      </c>
      <c r="Q81">
        <v>25700</v>
      </c>
      <c r="R81" t="s">
        <v>13</v>
      </c>
      <c r="S81" t="s">
        <v>10</v>
      </c>
      <c r="T81">
        <v>18247</v>
      </c>
      <c r="U81" s="16">
        <v>2.0429869152769582</v>
      </c>
      <c r="V81" s="16">
        <v>2.0095050671662267</v>
      </c>
      <c r="W81" t="s">
        <v>29</v>
      </c>
      <c r="Y81" s="26"/>
      <c r="Z81" s="26"/>
      <c r="AA81" s="26"/>
      <c r="AB81" s="26"/>
      <c r="AC81" s="26"/>
    </row>
    <row r="82" spans="13:29">
      <c r="M82">
        <v>81</v>
      </c>
      <c r="N82" t="s">
        <v>7</v>
      </c>
      <c r="O82">
        <v>3</v>
      </c>
      <c r="P82" t="s">
        <v>12</v>
      </c>
      <c r="Q82">
        <v>9400</v>
      </c>
      <c r="R82" t="s">
        <v>15</v>
      </c>
      <c r="S82" t="s">
        <v>16</v>
      </c>
      <c r="T82">
        <v>6674</v>
      </c>
      <c r="U82" s="16">
        <v>-0.58141046187829359</v>
      </c>
      <c r="V82" s="16">
        <v>-0.57414430490463619</v>
      </c>
      <c r="W82" t="s">
        <v>28</v>
      </c>
    </row>
    <row r="83" spans="13:29">
      <c r="M83">
        <v>82</v>
      </c>
      <c r="N83" t="s">
        <v>11</v>
      </c>
      <c r="O83">
        <v>6</v>
      </c>
      <c r="P83" t="s">
        <v>8</v>
      </c>
      <c r="Q83">
        <v>15000</v>
      </c>
      <c r="R83" t="s">
        <v>13</v>
      </c>
      <c r="S83" t="s">
        <v>10</v>
      </c>
      <c r="T83">
        <v>10650</v>
      </c>
      <c r="U83" s="16">
        <v>0.32022299284989103</v>
      </c>
      <c r="V83" s="16">
        <v>0.20095050671662265</v>
      </c>
      <c r="W83" t="s">
        <v>29</v>
      </c>
    </row>
    <row r="84" spans="13:29">
      <c r="M84">
        <v>83</v>
      </c>
      <c r="N84" t="s">
        <v>7</v>
      </c>
      <c r="O84">
        <v>4</v>
      </c>
      <c r="P84" t="s">
        <v>18</v>
      </c>
      <c r="Q84">
        <v>10800</v>
      </c>
      <c r="R84" t="s">
        <v>15</v>
      </c>
      <c r="S84" t="s">
        <v>10</v>
      </c>
      <c r="T84">
        <v>7668</v>
      </c>
      <c r="U84" s="16">
        <v>-0.35600209819624745</v>
      </c>
      <c r="V84" s="16">
        <v>-0.31577936769754994</v>
      </c>
      <c r="W84" t="s">
        <v>28</v>
      </c>
      <c r="Y84" s="16"/>
      <c r="AA84" s="16"/>
    </row>
    <row r="85" spans="13:29">
      <c r="M85">
        <v>84</v>
      </c>
      <c r="N85" t="s">
        <v>17</v>
      </c>
      <c r="O85">
        <v>1</v>
      </c>
      <c r="P85" t="s">
        <v>14</v>
      </c>
      <c r="Q85">
        <v>6400</v>
      </c>
      <c r="R85" t="s">
        <v>9</v>
      </c>
      <c r="S85" t="s">
        <v>10</v>
      </c>
      <c r="T85">
        <v>4544</v>
      </c>
      <c r="U85" s="16">
        <v>-1.0644283840541069</v>
      </c>
      <c r="V85" s="16">
        <v>-1.0908741793188088</v>
      </c>
      <c r="W85" t="s">
        <v>30</v>
      </c>
      <c r="Y85" s="16"/>
      <c r="AA85" s="16"/>
    </row>
    <row r="86" spans="13:29">
      <c r="M86">
        <v>85</v>
      </c>
      <c r="N86" t="s">
        <v>19</v>
      </c>
      <c r="O86">
        <v>12</v>
      </c>
      <c r="P86" t="s">
        <v>12</v>
      </c>
      <c r="Q86">
        <v>24600</v>
      </c>
      <c r="R86" t="s">
        <v>13</v>
      </c>
      <c r="S86" t="s">
        <v>10</v>
      </c>
      <c r="T86">
        <v>17466</v>
      </c>
      <c r="U86" s="16">
        <v>1.8658803438124933</v>
      </c>
      <c r="V86" s="16">
        <v>1.7511401299591405</v>
      </c>
      <c r="W86" t="s">
        <v>29</v>
      </c>
      <c r="Y86" s="16"/>
      <c r="AA86" s="16"/>
    </row>
    <row r="87" spans="13:29">
      <c r="M87">
        <v>86</v>
      </c>
      <c r="N87" t="s">
        <v>7</v>
      </c>
      <c r="O87">
        <v>2</v>
      </c>
      <c r="P87" t="s">
        <v>8</v>
      </c>
      <c r="Q87">
        <v>8700</v>
      </c>
      <c r="R87" t="s">
        <v>9</v>
      </c>
      <c r="S87" t="s">
        <v>16</v>
      </c>
      <c r="T87">
        <v>6177</v>
      </c>
      <c r="U87" s="16">
        <v>-0.69411464371931675</v>
      </c>
      <c r="V87" s="16">
        <v>-0.8325092421117225</v>
      </c>
      <c r="W87" t="s">
        <v>28</v>
      </c>
      <c r="Y87" s="16"/>
      <c r="AA87" s="16"/>
    </row>
    <row r="88" spans="13:29">
      <c r="M88">
        <v>87</v>
      </c>
      <c r="N88" t="s">
        <v>11</v>
      </c>
      <c r="O88">
        <v>9</v>
      </c>
      <c r="P88" t="s">
        <v>14</v>
      </c>
      <c r="Q88">
        <v>17100</v>
      </c>
      <c r="R88" t="s">
        <v>13</v>
      </c>
      <c r="S88" t="s">
        <v>10</v>
      </c>
      <c r="T88">
        <v>12141</v>
      </c>
      <c r="U88" s="16">
        <v>0.65833553837296022</v>
      </c>
      <c r="V88" s="16">
        <v>0.97604531833788155</v>
      </c>
      <c r="W88" t="s">
        <v>29</v>
      </c>
      <c r="Y88" s="16"/>
      <c r="AA88" s="16"/>
    </row>
    <row r="89" spans="13:29">
      <c r="M89">
        <v>88</v>
      </c>
      <c r="N89" t="s">
        <v>7</v>
      </c>
      <c r="O89">
        <v>5</v>
      </c>
      <c r="P89" t="s">
        <v>12</v>
      </c>
      <c r="Q89">
        <v>12300</v>
      </c>
      <c r="R89" t="s">
        <v>15</v>
      </c>
      <c r="S89" t="s">
        <v>10</v>
      </c>
      <c r="T89">
        <v>8733</v>
      </c>
      <c r="U89" s="16">
        <v>-0.11449313710834086</v>
      </c>
      <c r="V89" s="16">
        <v>-5.7414430490463644E-2</v>
      </c>
      <c r="W89" t="s">
        <v>28</v>
      </c>
      <c r="Y89" s="16"/>
      <c r="AA89" s="16"/>
    </row>
    <row r="90" spans="13:29">
      <c r="M90">
        <v>89</v>
      </c>
      <c r="N90" t="s">
        <v>17</v>
      </c>
      <c r="O90">
        <v>0.5</v>
      </c>
      <c r="P90" t="s">
        <v>18</v>
      </c>
      <c r="Q90">
        <v>5700</v>
      </c>
      <c r="R90" t="s">
        <v>9</v>
      </c>
      <c r="S90" t="s">
        <v>16</v>
      </c>
      <c r="T90">
        <v>4047</v>
      </c>
      <c r="U90" s="16">
        <v>-1.1771325658951299</v>
      </c>
      <c r="V90" s="16">
        <v>-1.220056647922352</v>
      </c>
      <c r="W90" t="s">
        <v>30</v>
      </c>
      <c r="Y90" s="16"/>
      <c r="AA90" s="16"/>
    </row>
    <row r="91" spans="13:29">
      <c r="M91">
        <v>90</v>
      </c>
      <c r="N91" t="s">
        <v>19</v>
      </c>
      <c r="O91">
        <v>14</v>
      </c>
      <c r="P91" t="s">
        <v>8</v>
      </c>
      <c r="Q91">
        <v>27000</v>
      </c>
      <c r="R91" t="s">
        <v>13</v>
      </c>
      <c r="S91" t="s">
        <v>10</v>
      </c>
      <c r="T91">
        <v>19170</v>
      </c>
      <c r="U91" s="16">
        <v>2.2522946815531437</v>
      </c>
      <c r="V91" s="16">
        <v>2.2678700043733131</v>
      </c>
      <c r="W91" t="s">
        <v>29</v>
      </c>
      <c r="Y91" s="16"/>
      <c r="AA91" s="16"/>
    </row>
    <row r="92" spans="13:29">
      <c r="M92">
        <v>91</v>
      </c>
      <c r="N92" t="s">
        <v>7</v>
      </c>
      <c r="O92">
        <v>3</v>
      </c>
      <c r="P92" t="s">
        <v>14</v>
      </c>
      <c r="Q92">
        <v>9600</v>
      </c>
      <c r="R92" t="s">
        <v>15</v>
      </c>
      <c r="S92" t="s">
        <v>10</v>
      </c>
      <c r="T92">
        <v>6816</v>
      </c>
      <c r="U92" s="16">
        <v>-0.54920926706657269</v>
      </c>
      <c r="V92" s="16">
        <v>-0.57414430490463619</v>
      </c>
      <c r="W92" t="s">
        <v>28</v>
      </c>
      <c r="Y92" s="16"/>
      <c r="AA92" s="16"/>
    </row>
    <row r="93" spans="13:29">
      <c r="M93">
        <v>92</v>
      </c>
      <c r="N93" t="s">
        <v>11</v>
      </c>
      <c r="O93">
        <v>7</v>
      </c>
      <c r="P93" t="s">
        <v>12</v>
      </c>
      <c r="Q93">
        <v>15600</v>
      </c>
      <c r="R93" t="s">
        <v>13</v>
      </c>
      <c r="S93" t="s">
        <v>10</v>
      </c>
      <c r="T93">
        <v>11076</v>
      </c>
      <c r="U93" s="16">
        <v>0.41682657728505368</v>
      </c>
      <c r="V93" s="16">
        <v>0.45931544392370893</v>
      </c>
      <c r="W93" t="s">
        <v>29</v>
      </c>
      <c r="Y93" s="16"/>
      <c r="AA93" s="16"/>
    </row>
    <row r="94" spans="13:29">
      <c r="M94">
        <v>93</v>
      </c>
      <c r="N94" t="s">
        <v>7</v>
      </c>
      <c r="O94">
        <v>4</v>
      </c>
      <c r="P94" t="s">
        <v>8</v>
      </c>
      <c r="Q94">
        <v>10600</v>
      </c>
      <c r="R94" t="s">
        <v>15</v>
      </c>
      <c r="S94" t="s">
        <v>10</v>
      </c>
      <c r="T94">
        <v>7526</v>
      </c>
      <c r="U94" s="16">
        <v>-0.38820329300796835</v>
      </c>
      <c r="V94" s="16">
        <v>-0.31577936769754994</v>
      </c>
      <c r="W94" t="s">
        <v>28</v>
      </c>
      <c r="Y94" s="16"/>
      <c r="AA94" s="16"/>
    </row>
    <row r="95" spans="13:29">
      <c r="M95">
        <v>94</v>
      </c>
      <c r="N95" t="s">
        <v>17</v>
      </c>
      <c r="O95">
        <v>1</v>
      </c>
      <c r="P95" t="s">
        <v>12</v>
      </c>
      <c r="Q95">
        <v>6000</v>
      </c>
      <c r="R95" t="s">
        <v>9</v>
      </c>
      <c r="S95" t="s">
        <v>16</v>
      </c>
      <c r="T95">
        <v>4260</v>
      </c>
      <c r="U95" s="16">
        <v>-1.1288307736775485</v>
      </c>
      <c r="V95" s="16">
        <v>-1.0908741793188088</v>
      </c>
      <c r="W95" t="s">
        <v>30</v>
      </c>
      <c r="Y95" s="16"/>
      <c r="AA95" s="16"/>
    </row>
    <row r="96" spans="13:29">
      <c r="M96">
        <v>95</v>
      </c>
      <c r="N96" t="s">
        <v>19</v>
      </c>
      <c r="O96">
        <v>11</v>
      </c>
      <c r="P96" t="s">
        <v>18</v>
      </c>
      <c r="Q96">
        <v>23900</v>
      </c>
      <c r="R96" t="s">
        <v>13</v>
      </c>
      <c r="S96" t="s">
        <v>10</v>
      </c>
      <c r="T96">
        <v>16969</v>
      </c>
      <c r="U96" s="16">
        <v>1.7531761619714701</v>
      </c>
      <c r="V96" s="16">
        <v>1.4927751927520541</v>
      </c>
      <c r="W96" t="s">
        <v>29</v>
      </c>
      <c r="Y96" s="16"/>
      <c r="AA96" s="16"/>
    </row>
    <row r="97" spans="13:27">
      <c r="M97">
        <v>96</v>
      </c>
      <c r="N97" t="s">
        <v>7</v>
      </c>
      <c r="O97">
        <v>2</v>
      </c>
      <c r="P97" t="s">
        <v>14</v>
      </c>
      <c r="Q97">
        <v>8800</v>
      </c>
      <c r="R97" t="s">
        <v>9</v>
      </c>
      <c r="S97" t="s">
        <v>16</v>
      </c>
      <c r="T97">
        <v>6248</v>
      </c>
      <c r="U97" s="16">
        <v>-0.6780140463134563</v>
      </c>
      <c r="V97" s="16">
        <v>-0.8325092421117225</v>
      </c>
      <c r="W97" t="s">
        <v>28</v>
      </c>
      <c r="Y97" s="16"/>
      <c r="AA97" s="16"/>
    </row>
    <row r="98" spans="13:27">
      <c r="M98">
        <v>97</v>
      </c>
      <c r="N98" t="s">
        <v>11</v>
      </c>
      <c r="O98">
        <v>8</v>
      </c>
      <c r="P98" t="s">
        <v>8</v>
      </c>
      <c r="Q98">
        <v>16600</v>
      </c>
      <c r="R98" t="s">
        <v>13</v>
      </c>
      <c r="S98" t="s">
        <v>10</v>
      </c>
      <c r="T98">
        <v>11786</v>
      </c>
      <c r="U98" s="16">
        <v>0.57783255134365807</v>
      </c>
      <c r="V98" s="16">
        <v>0.71768038113079524</v>
      </c>
      <c r="W98" t="s">
        <v>29</v>
      </c>
      <c r="Y98" s="16"/>
      <c r="AA98" s="16"/>
    </row>
    <row r="99" spans="13:27">
      <c r="M99">
        <v>98</v>
      </c>
      <c r="N99" t="s">
        <v>7</v>
      </c>
      <c r="O99">
        <v>5</v>
      </c>
      <c r="P99" t="s">
        <v>12</v>
      </c>
      <c r="Q99">
        <v>12000</v>
      </c>
      <c r="R99" t="s">
        <v>15</v>
      </c>
      <c r="S99" t="s">
        <v>10</v>
      </c>
      <c r="T99">
        <v>8520</v>
      </c>
      <c r="U99" s="16">
        <v>-0.16279492932592218</v>
      </c>
      <c r="V99" s="16">
        <v>-5.7414430490463644E-2</v>
      </c>
      <c r="W99" t="s">
        <v>28</v>
      </c>
      <c r="Y99" s="16"/>
      <c r="AA99" s="16"/>
    </row>
    <row r="100" spans="13:27">
      <c r="M100">
        <v>99</v>
      </c>
      <c r="N100" t="s">
        <v>17</v>
      </c>
      <c r="O100">
        <v>1</v>
      </c>
      <c r="P100" t="s">
        <v>14</v>
      </c>
      <c r="Q100">
        <v>6500</v>
      </c>
      <c r="R100" t="s">
        <v>9</v>
      </c>
      <c r="S100" t="s">
        <v>10</v>
      </c>
      <c r="T100">
        <v>4615</v>
      </c>
      <c r="U100" s="16">
        <v>-1.0483277866482463</v>
      </c>
      <c r="V100" s="16">
        <v>-1.0908741793188088</v>
      </c>
      <c r="W100" t="s">
        <v>30</v>
      </c>
      <c r="Y100" s="16"/>
      <c r="AA100" s="16"/>
    </row>
    <row r="101" spans="13:27">
      <c r="M101">
        <v>100</v>
      </c>
      <c r="N101" t="s">
        <v>19</v>
      </c>
      <c r="O101">
        <v>15</v>
      </c>
      <c r="P101" t="s">
        <v>12</v>
      </c>
      <c r="Q101">
        <v>28000</v>
      </c>
      <c r="R101" t="s">
        <v>13</v>
      </c>
      <c r="S101" t="s">
        <v>10</v>
      </c>
      <c r="T101">
        <v>19880</v>
      </c>
      <c r="U101" s="16">
        <v>2.413300655611748</v>
      </c>
      <c r="V101" s="16">
        <v>2.5262349415803995</v>
      </c>
      <c r="W101" t="s">
        <v>29</v>
      </c>
      <c r="Y101" s="16"/>
      <c r="AA101" s="16"/>
    </row>
    <row r="102" spans="13:27">
      <c r="Y102" s="16"/>
      <c r="AA102" s="16"/>
    </row>
    <row r="103" spans="13:27">
      <c r="Y103" s="16"/>
      <c r="AA103" s="16"/>
    </row>
    <row r="104" spans="13:27">
      <c r="Y104" s="16"/>
      <c r="AA104" s="16"/>
    </row>
    <row r="105" spans="13:27">
      <c r="Y105" s="16"/>
      <c r="AA105" s="16"/>
    </row>
    <row r="106" spans="13:27">
      <c r="Y106" s="16"/>
      <c r="AA106" s="16"/>
    </row>
    <row r="107" spans="13:27">
      <c r="Y107" s="16"/>
      <c r="AA107" s="16"/>
    </row>
    <row r="108" spans="13:27">
      <c r="Y108" s="16"/>
      <c r="AA108" s="16"/>
    </row>
    <row r="109" spans="13:27">
      <c r="Y109" s="16"/>
      <c r="AA109" s="16"/>
    </row>
    <row r="110" spans="13:27">
      <c r="Y110" s="16"/>
      <c r="AA110" s="16"/>
    </row>
    <row r="111" spans="13:27">
      <c r="Y111" s="16"/>
      <c r="AA111" s="16"/>
    </row>
    <row r="112" spans="13:27">
      <c r="Y112" s="16"/>
      <c r="AA112" s="16"/>
    </row>
    <row r="113" spans="25:27">
      <c r="Y113" s="16"/>
      <c r="AA113" s="16"/>
    </row>
    <row r="114" spans="25:27">
      <c r="Y114" s="16"/>
      <c r="AA114" s="16"/>
    </row>
    <row r="115" spans="25:27">
      <c r="Y115" s="16"/>
      <c r="AA115" s="16"/>
    </row>
    <row r="116" spans="25:27">
      <c r="Y116" s="16"/>
      <c r="AA116" s="16"/>
    </row>
    <row r="117" spans="25:27">
      <c r="Y117" s="16"/>
      <c r="AA117" s="16"/>
    </row>
    <row r="118" spans="25:27">
      <c r="Y118" s="16"/>
      <c r="AA118" s="16"/>
    </row>
    <row r="119" spans="25:27">
      <c r="Y119" s="16"/>
      <c r="AA119" s="16"/>
    </row>
    <row r="120" spans="25:27">
      <c r="Y120" s="16"/>
      <c r="AA120" s="16"/>
    </row>
    <row r="121" spans="25:27">
      <c r="Y121" s="16"/>
      <c r="AA121" s="16"/>
    </row>
    <row r="122" spans="25:27">
      <c r="Y122" s="16"/>
      <c r="AA122" s="16"/>
    </row>
    <row r="123" spans="25:27">
      <c r="Y123" s="16"/>
      <c r="AA123" s="16"/>
    </row>
    <row r="124" spans="25:27">
      <c r="Y124" s="16"/>
      <c r="AA124" s="16"/>
    </row>
    <row r="125" spans="25:27">
      <c r="Y125" s="16"/>
      <c r="AA125" s="16"/>
    </row>
    <row r="126" spans="25:27">
      <c r="Y126" s="16"/>
      <c r="AA126" s="16"/>
    </row>
    <row r="127" spans="25:27">
      <c r="Y127" s="16"/>
      <c r="AA127" s="16"/>
    </row>
    <row r="128" spans="25:27">
      <c r="Y128" s="16"/>
      <c r="AA128" s="16"/>
    </row>
    <row r="129" spans="25:27">
      <c r="Y129" s="16"/>
      <c r="AA129" s="16"/>
    </row>
    <row r="130" spans="25:27">
      <c r="Y130" s="16"/>
      <c r="AA130" s="16"/>
    </row>
    <row r="131" spans="25:27">
      <c r="Y131" s="16"/>
      <c r="AA131" s="16"/>
    </row>
    <row r="132" spans="25:27">
      <c r="Y132" s="16"/>
      <c r="AA132" s="16"/>
    </row>
    <row r="133" spans="25:27">
      <c r="Y133" s="16"/>
      <c r="AA133" s="16"/>
    </row>
    <row r="134" spans="25:27">
      <c r="Y134" s="16"/>
      <c r="AA134" s="16"/>
    </row>
    <row r="135" spans="25:27">
      <c r="Y135" s="16"/>
      <c r="AA135" s="16"/>
    </row>
    <row r="136" spans="25:27">
      <c r="Y136" s="16"/>
      <c r="AA136" s="16"/>
    </row>
    <row r="137" spans="25:27">
      <c r="Y137" s="16"/>
      <c r="AA137" s="16"/>
    </row>
    <row r="138" spans="25:27">
      <c r="Y138" s="16"/>
      <c r="AA138" s="16"/>
    </row>
    <row r="139" spans="25:27">
      <c r="Y139" s="16"/>
      <c r="AA139" s="16"/>
    </row>
    <row r="140" spans="25:27">
      <c r="Y140" s="16"/>
      <c r="AA140" s="16"/>
    </row>
    <row r="141" spans="25:27">
      <c r="Y141" s="16"/>
      <c r="AA141" s="16"/>
    </row>
    <row r="142" spans="25:27">
      <c r="Y142" s="16"/>
      <c r="AA142" s="16"/>
    </row>
    <row r="143" spans="25:27">
      <c r="Y143" s="16"/>
      <c r="AA143" s="16"/>
    </row>
    <row r="144" spans="25:27">
      <c r="Y144" s="16"/>
      <c r="AA144" s="16"/>
    </row>
    <row r="145" spans="25:27">
      <c r="Y145" s="16"/>
      <c r="AA145" s="16"/>
    </row>
    <row r="146" spans="25:27">
      <c r="Y146" s="16"/>
      <c r="AA146" s="16"/>
    </row>
    <row r="147" spans="25:27">
      <c r="Y147" s="16"/>
      <c r="AA147" s="16"/>
    </row>
    <row r="148" spans="25:27">
      <c r="Y148" s="16"/>
      <c r="AA148" s="16"/>
    </row>
    <row r="149" spans="25:27">
      <c r="Y149" s="16"/>
      <c r="AA149" s="16"/>
    </row>
    <row r="150" spans="25:27">
      <c r="Y150" s="16"/>
      <c r="AA150" s="16"/>
    </row>
    <row r="151" spans="25:27">
      <c r="Y151" s="16"/>
      <c r="AA151" s="16"/>
    </row>
    <row r="152" spans="25:27">
      <c r="Y152" s="16"/>
      <c r="AA152" s="16"/>
    </row>
    <row r="153" spans="25:27">
      <c r="Y153" s="16"/>
      <c r="AA153" s="16"/>
    </row>
    <row r="154" spans="25:27">
      <c r="Y154" s="16"/>
      <c r="AA154" s="16"/>
    </row>
    <row r="155" spans="25:27">
      <c r="Y155" s="16"/>
      <c r="AA155" s="16"/>
    </row>
    <row r="156" spans="25:27">
      <c r="Y156" s="16"/>
      <c r="AA156" s="16"/>
    </row>
    <row r="157" spans="25:27">
      <c r="Y157" s="16"/>
      <c r="AA157" s="16"/>
    </row>
    <row r="158" spans="25:27">
      <c r="Y158" s="16"/>
      <c r="AA158" s="16"/>
    </row>
    <row r="159" spans="25:27">
      <c r="Y159" s="16"/>
      <c r="AA159" s="16"/>
    </row>
    <row r="160" spans="25:27">
      <c r="Y160" s="16"/>
      <c r="AA160" s="16"/>
    </row>
    <row r="161" spans="25:27">
      <c r="Y161" s="16"/>
      <c r="AA161" s="16"/>
    </row>
    <row r="162" spans="25:27">
      <c r="Y162" s="16"/>
      <c r="AA162" s="16"/>
    </row>
    <row r="163" spans="25:27">
      <c r="Y163" s="16"/>
      <c r="AA163" s="16"/>
    </row>
    <row r="164" spans="25:27">
      <c r="Y164" s="16"/>
      <c r="AA164" s="16"/>
    </row>
    <row r="165" spans="25:27">
      <c r="Y165" s="16"/>
      <c r="AA165" s="16"/>
    </row>
    <row r="166" spans="25:27">
      <c r="Y166" s="16"/>
      <c r="AA166" s="16"/>
    </row>
    <row r="167" spans="25:27">
      <c r="Y167" s="16"/>
      <c r="AA167" s="16"/>
    </row>
    <row r="168" spans="25:27">
      <c r="Y168" s="16"/>
      <c r="AA168" s="16"/>
    </row>
    <row r="169" spans="25:27">
      <c r="Y169" s="16"/>
      <c r="AA169" s="16"/>
    </row>
    <row r="170" spans="25:27">
      <c r="Y170" s="16"/>
      <c r="AA170" s="16"/>
    </row>
    <row r="171" spans="25:27">
      <c r="Y171" s="16"/>
      <c r="AA171" s="16"/>
    </row>
    <row r="172" spans="25:27">
      <c r="Y172" s="16"/>
      <c r="AA172" s="16"/>
    </row>
    <row r="173" spans="25:27">
      <c r="Y173" s="16"/>
      <c r="AA173" s="16"/>
    </row>
    <row r="174" spans="25:27">
      <c r="Y174" s="16"/>
      <c r="AA174" s="16"/>
    </row>
    <row r="175" spans="25:27">
      <c r="Y175" s="16"/>
      <c r="AA175" s="16"/>
    </row>
    <row r="176" spans="25:27">
      <c r="Y176" s="16"/>
      <c r="AA176" s="16"/>
    </row>
    <row r="177" spans="25:27">
      <c r="Y177" s="16"/>
      <c r="AA177" s="16"/>
    </row>
    <row r="178" spans="25:27">
      <c r="Y178" s="16"/>
      <c r="AA178" s="16"/>
    </row>
    <row r="179" spans="25:27">
      <c r="Y179" s="16"/>
      <c r="AA179" s="16"/>
    </row>
    <row r="180" spans="25:27">
      <c r="Y180" s="16"/>
      <c r="AA180" s="16"/>
    </row>
    <row r="181" spans="25:27">
      <c r="Y181" s="16"/>
      <c r="AA181" s="16"/>
    </row>
    <row r="182" spans="25:27">
      <c r="Y182" s="16"/>
      <c r="AA182" s="16"/>
    </row>
  </sheetData>
  <mergeCells count="10">
    <mergeCell ref="Y69:AC71"/>
    <mergeCell ref="Y73:AC75"/>
    <mergeCell ref="Y77:AC80"/>
    <mergeCell ref="I61:L66"/>
    <mergeCell ref="AG5:AI8"/>
    <mergeCell ref="AG10:AI13"/>
    <mergeCell ref="AG16:AI20"/>
    <mergeCell ref="AG47:AH48"/>
    <mergeCell ref="AG50:AI53"/>
    <mergeCell ref="AG55:AI5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874D-11C7-483B-AD2C-D909333D46FA}">
  <dimension ref="B6:R106"/>
  <sheetViews>
    <sheetView topLeftCell="A21" zoomScale="85" zoomScaleNormal="85" workbookViewId="0">
      <selection activeCell="Q52" sqref="Q52"/>
    </sheetView>
  </sheetViews>
  <sheetFormatPr defaultColWidth="8.85546875" defaultRowHeight="12.75"/>
  <cols>
    <col min="15" max="15" width="19.140625" bestFit="1" customWidth="1"/>
    <col min="16" max="16" width="31.28515625" bestFit="1" customWidth="1"/>
    <col min="17" max="17" width="19.140625" bestFit="1" customWidth="1"/>
    <col min="18" max="18" width="31.28515625" bestFit="1" customWidth="1"/>
    <col min="19" max="19" width="34" bestFit="1" customWidth="1"/>
  </cols>
  <sheetData>
    <row r="6" spans="2:18" ht="13.5" thickBot="1"/>
    <row r="7" spans="2:18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24</v>
      </c>
      <c r="J7" s="3" t="s">
        <v>25</v>
      </c>
      <c r="K7" s="3" t="s">
        <v>26</v>
      </c>
      <c r="L7" t="s">
        <v>27</v>
      </c>
      <c r="O7" s="23" t="s">
        <v>51</v>
      </c>
      <c r="P7" s="23"/>
      <c r="Q7" s="23" t="s">
        <v>52</v>
      </c>
      <c r="R7" s="23"/>
    </row>
    <row r="8" spans="2:18">
      <c r="B8">
        <v>1</v>
      </c>
      <c r="C8" t="s">
        <v>7</v>
      </c>
      <c r="D8">
        <v>2</v>
      </c>
      <c r="E8" t="s">
        <v>8</v>
      </c>
      <c r="F8">
        <v>8500</v>
      </c>
      <c r="G8" t="s">
        <v>9</v>
      </c>
      <c r="H8" t="s">
        <v>10</v>
      </c>
      <c r="I8">
        <v>6035</v>
      </c>
      <c r="J8" s="16">
        <v>-0.72631583853103754</v>
      </c>
      <c r="K8" s="16">
        <v>-0.8325092421117225</v>
      </c>
      <c r="L8" t="s">
        <v>28</v>
      </c>
      <c r="O8" s="21"/>
      <c r="P8" s="21"/>
      <c r="Q8" s="21"/>
      <c r="R8" s="21"/>
    </row>
    <row r="9" spans="2:18">
      <c r="B9">
        <v>2</v>
      </c>
      <c r="C9" t="s">
        <v>11</v>
      </c>
      <c r="D9">
        <v>7</v>
      </c>
      <c r="E9" t="s">
        <v>12</v>
      </c>
      <c r="F9">
        <v>15200</v>
      </c>
      <c r="G9" t="s">
        <v>13</v>
      </c>
      <c r="H9" t="s">
        <v>10</v>
      </c>
      <c r="I9">
        <v>10792</v>
      </c>
      <c r="J9" s="16">
        <v>0.35242418766161188</v>
      </c>
      <c r="K9" s="16">
        <v>0.45931544392370893</v>
      </c>
      <c r="L9" t="s">
        <v>29</v>
      </c>
      <c r="O9" s="21" t="s">
        <v>15</v>
      </c>
      <c r="P9" s="21">
        <v>5.2222222222222223</v>
      </c>
      <c r="Q9" s="21" t="s">
        <v>15</v>
      </c>
      <c r="R9" s="21">
        <v>13011.111111111111</v>
      </c>
    </row>
    <row r="10" spans="2:18">
      <c r="B10">
        <v>3</v>
      </c>
      <c r="C10" t="s">
        <v>7</v>
      </c>
      <c r="D10">
        <v>3</v>
      </c>
      <c r="E10" t="s">
        <v>14</v>
      </c>
      <c r="F10">
        <v>9200</v>
      </c>
      <c r="G10" t="s">
        <v>15</v>
      </c>
      <c r="H10" t="s">
        <v>16</v>
      </c>
      <c r="I10">
        <v>6532</v>
      </c>
      <c r="J10" s="16">
        <v>-0.6136116566900145</v>
      </c>
      <c r="K10" s="16">
        <v>-0.57414430490463619</v>
      </c>
      <c r="L10" t="s">
        <v>28</v>
      </c>
      <c r="O10" s="21" t="s">
        <v>39</v>
      </c>
      <c r="P10" s="21">
        <v>0.38899930699715957</v>
      </c>
      <c r="Q10" s="21" t="s">
        <v>39</v>
      </c>
      <c r="R10" s="21">
        <v>624.22392779872234</v>
      </c>
    </row>
    <row r="11" spans="2:18">
      <c r="B11">
        <v>4</v>
      </c>
      <c r="C11" t="s">
        <v>17</v>
      </c>
      <c r="D11">
        <v>1</v>
      </c>
      <c r="E11" t="s">
        <v>8</v>
      </c>
      <c r="F11">
        <v>6200</v>
      </c>
      <c r="G11" t="s">
        <v>9</v>
      </c>
      <c r="H11" t="s">
        <v>10</v>
      </c>
      <c r="I11">
        <v>4402</v>
      </c>
      <c r="J11" s="16">
        <v>-1.0966295788658278</v>
      </c>
      <c r="K11" s="16">
        <v>-1.0908741793188088</v>
      </c>
      <c r="L11" t="s">
        <v>30</v>
      </c>
      <c r="O11" s="21" t="s">
        <v>40</v>
      </c>
      <c r="P11" s="21">
        <v>4</v>
      </c>
      <c r="Q11" s="21" t="s">
        <v>40</v>
      </c>
      <c r="R11" s="21">
        <v>10900</v>
      </c>
    </row>
    <row r="12" spans="2:18">
      <c r="B12">
        <v>5</v>
      </c>
      <c r="C12" t="s">
        <v>7</v>
      </c>
      <c r="D12">
        <v>4</v>
      </c>
      <c r="E12" t="s">
        <v>18</v>
      </c>
      <c r="F12">
        <v>10800</v>
      </c>
      <c r="G12" t="s">
        <v>15</v>
      </c>
      <c r="H12" t="s">
        <v>10</v>
      </c>
      <c r="I12">
        <v>7668</v>
      </c>
      <c r="J12" s="16">
        <v>-0.35600209819624745</v>
      </c>
      <c r="K12" s="16">
        <v>-0.31577936769754994</v>
      </c>
      <c r="L12" t="s">
        <v>28</v>
      </c>
      <c r="O12" s="21" t="s">
        <v>41</v>
      </c>
      <c r="P12" s="21">
        <v>1</v>
      </c>
      <c r="Q12" s="21" t="s">
        <v>41</v>
      </c>
      <c r="R12" s="21">
        <v>6500</v>
      </c>
    </row>
    <row r="13" spans="2:18">
      <c r="B13">
        <v>6</v>
      </c>
      <c r="C13" t="s">
        <v>19</v>
      </c>
      <c r="D13">
        <v>10</v>
      </c>
      <c r="E13" t="s">
        <v>8</v>
      </c>
      <c r="F13">
        <v>22500</v>
      </c>
      <c r="G13" t="s">
        <v>13</v>
      </c>
      <c r="H13" t="s">
        <v>10</v>
      </c>
      <c r="I13">
        <v>15975</v>
      </c>
      <c r="J13" s="16">
        <v>1.527767798289424</v>
      </c>
      <c r="K13" s="16">
        <v>1.2344102555449679</v>
      </c>
      <c r="L13" t="s">
        <v>29</v>
      </c>
      <c r="O13" s="21" t="s">
        <v>42</v>
      </c>
      <c r="P13" s="21">
        <v>3.8704942350535503</v>
      </c>
      <c r="Q13" s="21" t="s">
        <v>42</v>
      </c>
      <c r="R13" s="21">
        <v>6210.9496610107853</v>
      </c>
    </row>
    <row r="14" spans="2:18">
      <c r="B14">
        <v>7</v>
      </c>
      <c r="C14" t="s">
        <v>11</v>
      </c>
      <c r="D14">
        <v>6</v>
      </c>
      <c r="E14" t="s">
        <v>14</v>
      </c>
      <c r="F14">
        <v>14100</v>
      </c>
      <c r="G14" t="s">
        <v>13</v>
      </c>
      <c r="H14" t="s">
        <v>10</v>
      </c>
      <c r="I14">
        <v>10011</v>
      </c>
      <c r="J14" s="16">
        <v>0.17531761619714706</v>
      </c>
      <c r="K14" s="16">
        <v>0.20095050671662265</v>
      </c>
      <c r="L14" t="s">
        <v>29</v>
      </c>
      <c r="O14" s="21" t="s">
        <v>43</v>
      </c>
      <c r="P14" s="21">
        <v>14.980725623582769</v>
      </c>
      <c r="Q14" s="21" t="s">
        <v>43</v>
      </c>
      <c r="R14" s="21">
        <v>38575895.691609986</v>
      </c>
    </row>
    <row r="15" spans="2:18">
      <c r="B15">
        <v>8</v>
      </c>
      <c r="C15" t="s">
        <v>7</v>
      </c>
      <c r="D15">
        <v>3</v>
      </c>
      <c r="E15" t="s">
        <v>12</v>
      </c>
      <c r="F15">
        <v>9800</v>
      </c>
      <c r="G15" t="s">
        <v>15</v>
      </c>
      <c r="H15" t="s">
        <v>16</v>
      </c>
      <c r="I15">
        <v>6958</v>
      </c>
      <c r="J15" s="16">
        <v>-0.5170080722548519</v>
      </c>
      <c r="K15" s="16">
        <v>-0.57414430490463619</v>
      </c>
      <c r="L15" t="s">
        <v>28</v>
      </c>
      <c r="O15" s="21" t="s">
        <v>44</v>
      </c>
      <c r="P15" s="21">
        <v>-0.39639633234731386</v>
      </c>
      <c r="Q15" s="21" t="s">
        <v>44</v>
      </c>
      <c r="R15" s="21">
        <v>-0.22177803625038406</v>
      </c>
    </row>
    <row r="16" spans="2:18">
      <c r="B16">
        <v>9</v>
      </c>
      <c r="C16" t="s">
        <v>17</v>
      </c>
      <c r="D16">
        <v>1</v>
      </c>
      <c r="E16" t="s">
        <v>12</v>
      </c>
      <c r="F16">
        <v>5900</v>
      </c>
      <c r="G16" t="s">
        <v>9</v>
      </c>
      <c r="H16" t="s">
        <v>16</v>
      </c>
      <c r="I16">
        <v>4189</v>
      </c>
      <c r="J16" s="16">
        <v>-1.144931371083409</v>
      </c>
      <c r="K16" s="16">
        <v>-1.0908741793188088</v>
      </c>
      <c r="L16" t="s">
        <v>30</v>
      </c>
      <c r="O16" s="21" t="s">
        <v>45</v>
      </c>
      <c r="P16" s="21">
        <v>0.78520989403127928</v>
      </c>
      <c r="Q16" s="21" t="s">
        <v>45</v>
      </c>
      <c r="R16" s="21">
        <v>0.8948639599177024</v>
      </c>
    </row>
    <row r="17" spans="2:18">
      <c r="B17">
        <v>10</v>
      </c>
      <c r="C17" t="s">
        <v>7</v>
      </c>
      <c r="D17">
        <v>5</v>
      </c>
      <c r="E17" t="s">
        <v>8</v>
      </c>
      <c r="F17">
        <v>12300</v>
      </c>
      <c r="G17" t="s">
        <v>15</v>
      </c>
      <c r="H17" t="s">
        <v>10</v>
      </c>
      <c r="I17">
        <v>8733</v>
      </c>
      <c r="J17" s="16">
        <v>-0.11449313710834086</v>
      </c>
      <c r="K17" s="16">
        <v>-5.7414430490463644E-2</v>
      </c>
      <c r="L17" t="s">
        <v>28</v>
      </c>
      <c r="O17" s="21" t="s">
        <v>46</v>
      </c>
      <c r="P17" s="21">
        <v>14.5</v>
      </c>
      <c r="Q17" s="21" t="s">
        <v>46</v>
      </c>
      <c r="R17" s="21">
        <v>22500</v>
      </c>
    </row>
    <row r="18" spans="2:18">
      <c r="B18">
        <v>11</v>
      </c>
      <c r="C18" t="s">
        <v>19</v>
      </c>
      <c r="D18">
        <v>12</v>
      </c>
      <c r="E18" t="s">
        <v>12</v>
      </c>
      <c r="F18">
        <v>24800</v>
      </c>
      <c r="G18" t="s">
        <v>13</v>
      </c>
      <c r="H18" t="s">
        <v>10</v>
      </c>
      <c r="I18">
        <v>17608</v>
      </c>
      <c r="J18" s="16">
        <v>1.8980815386242142</v>
      </c>
      <c r="K18" s="16">
        <v>1.7511401299591405</v>
      </c>
      <c r="L18" t="s">
        <v>29</v>
      </c>
      <c r="O18" s="21" t="s">
        <v>47</v>
      </c>
      <c r="P18" s="21">
        <v>0.5</v>
      </c>
      <c r="Q18" s="21" t="s">
        <v>47</v>
      </c>
      <c r="R18" s="21">
        <v>5500</v>
      </c>
    </row>
    <row r="19" spans="2:18">
      <c r="B19">
        <v>12</v>
      </c>
      <c r="C19" t="s">
        <v>11</v>
      </c>
      <c r="D19">
        <v>8</v>
      </c>
      <c r="E19" t="s">
        <v>18</v>
      </c>
      <c r="F19">
        <v>16700</v>
      </c>
      <c r="G19" t="s">
        <v>13</v>
      </c>
      <c r="H19" t="s">
        <v>10</v>
      </c>
      <c r="I19">
        <v>11857</v>
      </c>
      <c r="J19" s="16">
        <v>0.59393314874951852</v>
      </c>
      <c r="K19" s="16">
        <v>0.71768038113079524</v>
      </c>
      <c r="L19" t="s">
        <v>29</v>
      </c>
      <c r="O19" s="21" t="s">
        <v>48</v>
      </c>
      <c r="P19" s="21">
        <v>15</v>
      </c>
      <c r="Q19" s="21" t="s">
        <v>48</v>
      </c>
      <c r="R19" s="21">
        <v>28000</v>
      </c>
    </row>
    <row r="20" spans="2:18">
      <c r="B20">
        <v>13</v>
      </c>
      <c r="C20" t="s">
        <v>7</v>
      </c>
      <c r="D20">
        <v>2</v>
      </c>
      <c r="E20" t="s">
        <v>14</v>
      </c>
      <c r="F20">
        <v>8200</v>
      </c>
      <c r="G20" t="s">
        <v>9</v>
      </c>
      <c r="H20" t="s">
        <v>16</v>
      </c>
      <c r="I20">
        <v>5822</v>
      </c>
      <c r="J20" s="16">
        <v>-0.77461763074861889</v>
      </c>
      <c r="K20" s="16">
        <v>-0.8325092421117225</v>
      </c>
      <c r="L20" t="s">
        <v>28</v>
      </c>
      <c r="O20" s="21" t="s">
        <v>49</v>
      </c>
      <c r="P20" s="21">
        <v>517</v>
      </c>
      <c r="Q20" s="21" t="s">
        <v>49</v>
      </c>
      <c r="R20" s="21">
        <v>1288100</v>
      </c>
    </row>
    <row r="21" spans="2:18" ht="13.5" thickBot="1">
      <c r="B21">
        <v>14</v>
      </c>
      <c r="C21" t="s">
        <v>17</v>
      </c>
      <c r="D21">
        <v>1</v>
      </c>
      <c r="E21" t="s">
        <v>14</v>
      </c>
      <c r="F21">
        <v>6500</v>
      </c>
      <c r="G21" t="s">
        <v>15</v>
      </c>
      <c r="H21" t="s">
        <v>10</v>
      </c>
      <c r="I21">
        <v>4615</v>
      </c>
      <c r="J21" s="16">
        <v>-1.0483277866482463</v>
      </c>
      <c r="K21" s="16">
        <v>-1.0908741793188088</v>
      </c>
      <c r="L21" t="s">
        <v>30</v>
      </c>
      <c r="O21" s="22" t="s">
        <v>50</v>
      </c>
      <c r="P21" s="22">
        <v>99</v>
      </c>
      <c r="Q21" s="22" t="s">
        <v>50</v>
      </c>
      <c r="R21" s="22">
        <v>99</v>
      </c>
    </row>
    <row r="22" spans="2:18" ht="13.5" thickBot="1">
      <c r="B22">
        <v>15</v>
      </c>
      <c r="C22" t="s">
        <v>7</v>
      </c>
      <c r="D22">
        <v>4</v>
      </c>
      <c r="E22" t="s">
        <v>12</v>
      </c>
      <c r="F22">
        <v>11200</v>
      </c>
      <c r="G22" t="s">
        <v>15</v>
      </c>
      <c r="H22" t="s">
        <v>10</v>
      </c>
      <c r="I22">
        <v>7952</v>
      </c>
      <c r="J22" s="16">
        <v>-0.2915997085728057</v>
      </c>
      <c r="K22" s="16">
        <v>-0.31577936769754994</v>
      </c>
      <c r="L22" t="s">
        <v>28</v>
      </c>
    </row>
    <row r="23" spans="2:18">
      <c r="B23">
        <v>16</v>
      </c>
      <c r="C23" t="s">
        <v>11</v>
      </c>
      <c r="D23">
        <v>9</v>
      </c>
      <c r="E23" t="s">
        <v>8</v>
      </c>
      <c r="F23">
        <v>17500</v>
      </c>
      <c r="G23" t="s">
        <v>13</v>
      </c>
      <c r="H23" t="s">
        <v>10</v>
      </c>
      <c r="I23">
        <v>12425</v>
      </c>
      <c r="J23" s="16">
        <v>0.72273792799640202</v>
      </c>
      <c r="K23" s="16">
        <v>0.97604531833788155</v>
      </c>
      <c r="L23" t="s">
        <v>29</v>
      </c>
      <c r="O23" s="23" t="s">
        <v>24</v>
      </c>
      <c r="P23" s="23"/>
      <c r="Q23" s="23" t="s">
        <v>25</v>
      </c>
      <c r="R23" s="23"/>
    </row>
    <row r="24" spans="2:18">
      <c r="B24">
        <v>17</v>
      </c>
      <c r="C24" t="s">
        <v>7</v>
      </c>
      <c r="D24">
        <v>3</v>
      </c>
      <c r="E24" t="s">
        <v>18</v>
      </c>
      <c r="F24">
        <v>9500</v>
      </c>
      <c r="G24" t="s">
        <v>9</v>
      </c>
      <c r="H24" t="s">
        <v>16</v>
      </c>
      <c r="I24">
        <v>6745</v>
      </c>
      <c r="J24" s="16">
        <v>-0.56530986447243314</v>
      </c>
      <c r="K24" s="16">
        <v>-0.57414430490463619</v>
      </c>
      <c r="L24" t="s">
        <v>28</v>
      </c>
      <c r="O24" s="21"/>
      <c r="P24" s="21"/>
      <c r="Q24" s="21"/>
      <c r="R24" s="21"/>
    </row>
    <row r="25" spans="2:18">
      <c r="B25">
        <v>18</v>
      </c>
      <c r="C25" t="s">
        <v>19</v>
      </c>
      <c r="D25">
        <v>11</v>
      </c>
      <c r="E25" t="s">
        <v>14</v>
      </c>
      <c r="F25">
        <v>23200</v>
      </c>
      <c r="G25" t="s">
        <v>13</v>
      </c>
      <c r="H25" t="s">
        <v>10</v>
      </c>
      <c r="I25">
        <v>16472</v>
      </c>
      <c r="J25" s="16">
        <v>1.640471980130447</v>
      </c>
      <c r="K25" s="16">
        <v>1.4927751927520541</v>
      </c>
      <c r="L25" t="s">
        <v>29</v>
      </c>
      <c r="O25" s="21" t="s">
        <v>15</v>
      </c>
      <c r="P25" s="21">
        <v>9237.8888888888887</v>
      </c>
      <c r="Q25" s="21" t="s">
        <v>15</v>
      </c>
      <c r="R25" s="21">
        <v>3.5885996755560618E-17</v>
      </c>
    </row>
    <row r="26" spans="2:18">
      <c r="B26">
        <v>19</v>
      </c>
      <c r="C26" t="s">
        <v>7</v>
      </c>
      <c r="D26">
        <v>2</v>
      </c>
      <c r="E26" t="s">
        <v>12</v>
      </c>
      <c r="F26">
        <v>8800</v>
      </c>
      <c r="G26" t="s">
        <v>15</v>
      </c>
      <c r="H26" t="s">
        <v>10</v>
      </c>
      <c r="I26">
        <v>6248</v>
      </c>
      <c r="J26" s="16">
        <v>-0.6780140463134563</v>
      </c>
      <c r="K26" s="16">
        <v>-0.8325092421117225</v>
      </c>
      <c r="L26" t="s">
        <v>28</v>
      </c>
      <c r="O26" s="21" t="s">
        <v>39</v>
      </c>
      <c r="P26" s="21">
        <v>443.19898873709275</v>
      </c>
      <c r="Q26" s="21" t="s">
        <v>39</v>
      </c>
      <c r="R26" s="21">
        <v>0.10050378152592121</v>
      </c>
    </row>
    <row r="27" spans="2:18">
      <c r="B27">
        <v>20</v>
      </c>
      <c r="C27" t="s">
        <v>17</v>
      </c>
      <c r="D27">
        <v>0.5</v>
      </c>
      <c r="E27" t="s">
        <v>18</v>
      </c>
      <c r="F27">
        <v>5500</v>
      </c>
      <c r="G27" t="s">
        <v>9</v>
      </c>
      <c r="H27" t="s">
        <v>16</v>
      </c>
      <c r="I27">
        <v>3905</v>
      </c>
      <c r="J27" s="16">
        <v>-1.2093337607068508</v>
      </c>
      <c r="K27" s="16">
        <v>-1.220056647922352</v>
      </c>
      <c r="L27" t="s">
        <v>30</v>
      </c>
      <c r="O27" s="21" t="s">
        <v>40</v>
      </c>
      <c r="P27" s="21">
        <v>7739</v>
      </c>
      <c r="Q27" s="21" t="s">
        <v>40</v>
      </c>
      <c r="R27" s="21">
        <v>-0.339901500790387</v>
      </c>
    </row>
    <row r="28" spans="2:18">
      <c r="B28">
        <v>21</v>
      </c>
      <c r="C28" t="s">
        <v>11</v>
      </c>
      <c r="D28">
        <v>7</v>
      </c>
      <c r="E28" t="s">
        <v>12</v>
      </c>
      <c r="F28">
        <v>15800</v>
      </c>
      <c r="G28" t="s">
        <v>13</v>
      </c>
      <c r="H28" t="s">
        <v>10</v>
      </c>
      <c r="I28">
        <v>11218</v>
      </c>
      <c r="J28" s="16">
        <v>0.44902777209677452</v>
      </c>
      <c r="K28" s="16">
        <v>0.45931544392370893</v>
      </c>
      <c r="L28" t="s">
        <v>29</v>
      </c>
      <c r="O28" s="21" t="s">
        <v>41</v>
      </c>
      <c r="P28" s="21">
        <v>4615</v>
      </c>
      <c r="Q28" s="21" t="s">
        <v>41</v>
      </c>
      <c r="R28" s="21">
        <v>-1.0483277866482463</v>
      </c>
    </row>
    <row r="29" spans="2:18">
      <c r="B29">
        <v>22</v>
      </c>
      <c r="C29" t="s">
        <v>7</v>
      </c>
      <c r="D29">
        <v>5</v>
      </c>
      <c r="E29" t="s">
        <v>14</v>
      </c>
      <c r="F29">
        <v>12700</v>
      </c>
      <c r="G29" t="s">
        <v>15</v>
      </c>
      <c r="H29" t="s">
        <v>10</v>
      </c>
      <c r="I29">
        <v>9017</v>
      </c>
      <c r="J29" s="16">
        <v>-5.0090747484899098E-2</v>
      </c>
      <c r="K29" s="16">
        <v>-5.7414430490463644E-2</v>
      </c>
      <c r="L29" t="s">
        <v>28</v>
      </c>
      <c r="O29" s="21" t="s">
        <v>42</v>
      </c>
      <c r="P29" s="21">
        <v>4409.7742593176563</v>
      </c>
      <c r="Q29" s="21" t="s">
        <v>42</v>
      </c>
      <c r="R29" s="21">
        <v>1</v>
      </c>
    </row>
    <row r="30" spans="2:18">
      <c r="B30">
        <v>23</v>
      </c>
      <c r="C30" t="s">
        <v>7</v>
      </c>
      <c r="D30">
        <v>3</v>
      </c>
      <c r="E30" t="s">
        <v>8</v>
      </c>
      <c r="F30">
        <v>9600</v>
      </c>
      <c r="G30" t="s">
        <v>15</v>
      </c>
      <c r="H30" t="s">
        <v>16</v>
      </c>
      <c r="I30">
        <v>6816</v>
      </c>
      <c r="J30" s="16">
        <v>-0.54920926706657269</v>
      </c>
      <c r="K30" s="16">
        <v>-0.57414430490463619</v>
      </c>
      <c r="L30" t="s">
        <v>28</v>
      </c>
      <c r="O30" s="21" t="s">
        <v>43</v>
      </c>
      <c r="P30" s="21">
        <v>19446109.018140588</v>
      </c>
      <c r="Q30" s="21" t="s">
        <v>43</v>
      </c>
      <c r="R30" s="21">
        <v>1.0000000000000002</v>
      </c>
    </row>
    <row r="31" spans="2:18">
      <c r="B31">
        <v>24</v>
      </c>
      <c r="C31" t="s">
        <v>19</v>
      </c>
      <c r="D31">
        <v>13</v>
      </c>
      <c r="E31" t="s">
        <v>18</v>
      </c>
      <c r="F31">
        <v>25500</v>
      </c>
      <c r="G31" t="s">
        <v>13</v>
      </c>
      <c r="H31" t="s">
        <v>10</v>
      </c>
      <c r="I31">
        <v>18105</v>
      </c>
      <c r="J31" s="16">
        <v>2.0107857204652371</v>
      </c>
      <c r="K31" s="16">
        <v>2.0095050671662267</v>
      </c>
      <c r="L31" t="s">
        <v>29</v>
      </c>
      <c r="O31" s="21" t="s">
        <v>44</v>
      </c>
      <c r="P31" s="21">
        <v>-0.22177803625038273</v>
      </c>
      <c r="Q31" s="21" t="s">
        <v>44</v>
      </c>
      <c r="R31" s="21">
        <v>-0.22177803625038051</v>
      </c>
    </row>
    <row r="32" spans="2:18">
      <c r="B32">
        <v>25</v>
      </c>
      <c r="C32" t="s">
        <v>17</v>
      </c>
      <c r="D32">
        <v>1</v>
      </c>
      <c r="E32" t="s">
        <v>12</v>
      </c>
      <c r="F32">
        <v>6100</v>
      </c>
      <c r="G32" t="s">
        <v>9</v>
      </c>
      <c r="H32" t="s">
        <v>16</v>
      </c>
      <c r="I32">
        <v>4331</v>
      </c>
      <c r="J32" s="16">
        <v>-1.1127301762716881</v>
      </c>
      <c r="K32" s="16">
        <v>-1.0908741793188088</v>
      </c>
      <c r="L32" t="s">
        <v>30</v>
      </c>
      <c r="O32" s="21" t="s">
        <v>45</v>
      </c>
      <c r="P32" s="21">
        <v>0.89486395991770273</v>
      </c>
      <c r="Q32" s="21" t="s">
        <v>45</v>
      </c>
      <c r="R32" s="21">
        <v>0.89486395991770329</v>
      </c>
    </row>
    <row r="33" spans="2:18">
      <c r="B33">
        <v>26</v>
      </c>
      <c r="C33" t="s">
        <v>11</v>
      </c>
      <c r="D33">
        <v>8</v>
      </c>
      <c r="E33" t="s">
        <v>14</v>
      </c>
      <c r="F33">
        <v>16200</v>
      </c>
      <c r="G33" t="s">
        <v>13</v>
      </c>
      <c r="H33" t="s">
        <v>10</v>
      </c>
      <c r="I33">
        <v>11502</v>
      </c>
      <c r="J33" s="16">
        <v>0.51343016172021627</v>
      </c>
      <c r="K33" s="16">
        <v>0.71768038113079524</v>
      </c>
      <c r="L33" t="s">
        <v>29</v>
      </c>
      <c r="O33" s="21" t="s">
        <v>46</v>
      </c>
      <c r="P33" s="21">
        <v>15975</v>
      </c>
      <c r="Q33" s="21" t="s">
        <v>46</v>
      </c>
      <c r="R33" s="21">
        <v>3.6226344163185988</v>
      </c>
    </row>
    <row r="34" spans="2:18">
      <c r="B34">
        <v>27</v>
      </c>
      <c r="C34" t="s">
        <v>7</v>
      </c>
      <c r="D34">
        <v>4</v>
      </c>
      <c r="E34" t="s">
        <v>8</v>
      </c>
      <c r="F34">
        <v>10500</v>
      </c>
      <c r="G34" t="s">
        <v>15</v>
      </c>
      <c r="H34" t="s">
        <v>10</v>
      </c>
      <c r="I34">
        <v>7455</v>
      </c>
      <c r="J34" s="16">
        <v>-0.4043038904138288</v>
      </c>
      <c r="K34" s="16">
        <v>-0.31577936769754994</v>
      </c>
      <c r="L34" t="s">
        <v>28</v>
      </c>
      <c r="O34" s="21" t="s">
        <v>47</v>
      </c>
      <c r="P34" s="21">
        <v>3905</v>
      </c>
      <c r="Q34" s="21" t="s">
        <v>47</v>
      </c>
      <c r="R34" s="21">
        <v>-1.2093337607068508</v>
      </c>
    </row>
    <row r="35" spans="2:18">
      <c r="B35">
        <v>28</v>
      </c>
      <c r="C35" t="s">
        <v>7</v>
      </c>
      <c r="D35">
        <v>2</v>
      </c>
      <c r="E35" t="s">
        <v>18</v>
      </c>
      <c r="F35">
        <v>8400</v>
      </c>
      <c r="G35" t="s">
        <v>9</v>
      </c>
      <c r="H35" t="s">
        <v>16</v>
      </c>
      <c r="I35">
        <v>5964</v>
      </c>
      <c r="J35" s="16">
        <v>-0.74241643593689799</v>
      </c>
      <c r="K35" s="16">
        <v>-0.8325092421117225</v>
      </c>
      <c r="L35" t="s">
        <v>28</v>
      </c>
      <c r="O35" s="21" t="s">
        <v>48</v>
      </c>
      <c r="P35" s="21">
        <v>19880</v>
      </c>
      <c r="Q35" s="21" t="s">
        <v>48</v>
      </c>
      <c r="R35" s="21">
        <v>2.413300655611748</v>
      </c>
    </row>
    <row r="36" spans="2:18">
      <c r="B36">
        <v>29</v>
      </c>
      <c r="C36" t="s">
        <v>11</v>
      </c>
      <c r="D36">
        <v>6</v>
      </c>
      <c r="E36" t="s">
        <v>12</v>
      </c>
      <c r="F36">
        <v>14500</v>
      </c>
      <c r="G36" t="s">
        <v>13</v>
      </c>
      <c r="H36" t="s">
        <v>10</v>
      </c>
      <c r="I36">
        <v>10295</v>
      </c>
      <c r="J36" s="16">
        <v>0.23972000582058881</v>
      </c>
      <c r="K36" s="16">
        <v>0.20095050671662265</v>
      </c>
      <c r="L36" t="s">
        <v>29</v>
      </c>
      <c r="O36" s="21" t="s">
        <v>49</v>
      </c>
      <c r="P36" s="21">
        <v>914551</v>
      </c>
      <c r="Q36" s="21" t="s">
        <v>49</v>
      </c>
      <c r="R36" s="21">
        <v>3.5527136788005009E-15</v>
      </c>
    </row>
    <row r="37" spans="2:18" ht="13.5" thickBot="1">
      <c r="B37">
        <v>30</v>
      </c>
      <c r="C37" t="s">
        <v>7</v>
      </c>
      <c r="D37">
        <v>3</v>
      </c>
      <c r="E37" t="s">
        <v>14</v>
      </c>
      <c r="F37">
        <v>9300</v>
      </c>
      <c r="G37" t="s">
        <v>15</v>
      </c>
      <c r="H37" t="s">
        <v>10</v>
      </c>
      <c r="I37">
        <v>6603</v>
      </c>
      <c r="J37" s="16">
        <v>-0.59751105928415404</v>
      </c>
      <c r="K37" s="16">
        <v>-0.57414430490463619</v>
      </c>
      <c r="L37" t="s">
        <v>28</v>
      </c>
      <c r="O37" s="22" t="s">
        <v>50</v>
      </c>
      <c r="P37" s="22">
        <v>99</v>
      </c>
      <c r="Q37" s="22" t="s">
        <v>50</v>
      </c>
      <c r="R37" s="22">
        <v>99</v>
      </c>
    </row>
    <row r="38" spans="2:18" ht="13.5" thickBot="1">
      <c r="B38">
        <v>32</v>
      </c>
      <c r="C38" t="s">
        <v>17</v>
      </c>
      <c r="D38">
        <v>1</v>
      </c>
      <c r="E38" t="s">
        <v>14</v>
      </c>
      <c r="F38">
        <v>6400</v>
      </c>
      <c r="G38" t="s">
        <v>9</v>
      </c>
      <c r="H38" t="s">
        <v>10</v>
      </c>
      <c r="I38">
        <v>4544</v>
      </c>
      <c r="J38" s="16">
        <v>-1.0644283840541069</v>
      </c>
      <c r="K38" s="16">
        <v>-1.0908741793188088</v>
      </c>
      <c r="L38" t="s">
        <v>30</v>
      </c>
    </row>
    <row r="39" spans="2:18">
      <c r="B39">
        <v>33</v>
      </c>
      <c r="C39" t="s">
        <v>7</v>
      </c>
      <c r="D39">
        <v>5</v>
      </c>
      <c r="E39" t="s">
        <v>12</v>
      </c>
      <c r="F39">
        <v>11800</v>
      </c>
      <c r="G39" t="s">
        <v>15</v>
      </c>
      <c r="H39" t="s">
        <v>10</v>
      </c>
      <c r="I39">
        <v>8378</v>
      </c>
      <c r="J39" s="16">
        <v>-0.19499612413764306</v>
      </c>
      <c r="K39" s="16">
        <v>-5.7414430490463644E-2</v>
      </c>
      <c r="L39" t="s">
        <v>28</v>
      </c>
      <c r="O39" s="23" t="s">
        <v>26</v>
      </c>
      <c r="P39" s="23"/>
    </row>
    <row r="40" spans="2:18">
      <c r="B40">
        <v>34</v>
      </c>
      <c r="C40" t="s">
        <v>11</v>
      </c>
      <c r="D40">
        <v>9</v>
      </c>
      <c r="E40" t="s">
        <v>18</v>
      </c>
      <c r="F40">
        <v>17200</v>
      </c>
      <c r="G40" t="s">
        <v>13</v>
      </c>
      <c r="H40" t="s">
        <v>10</v>
      </c>
      <c r="I40">
        <v>12212</v>
      </c>
      <c r="J40" s="16">
        <v>0.67443613577882067</v>
      </c>
      <c r="K40" s="16">
        <v>0.97604531833788155</v>
      </c>
      <c r="L40" t="s">
        <v>29</v>
      </c>
      <c r="O40" s="21"/>
      <c r="P40" s="21"/>
    </row>
    <row r="41" spans="2:18">
      <c r="B41">
        <v>35</v>
      </c>
      <c r="C41" t="s">
        <v>7</v>
      </c>
      <c r="D41">
        <v>2</v>
      </c>
      <c r="E41" t="s">
        <v>8</v>
      </c>
      <c r="F41">
        <v>8600</v>
      </c>
      <c r="G41" t="s">
        <v>9</v>
      </c>
      <c r="H41" t="s">
        <v>16</v>
      </c>
      <c r="I41">
        <v>6106</v>
      </c>
      <c r="J41" s="16">
        <v>-0.71021524112517709</v>
      </c>
      <c r="K41" s="16">
        <v>-0.8325092421117225</v>
      </c>
      <c r="L41" t="s">
        <v>28</v>
      </c>
      <c r="O41" s="21" t="s">
        <v>15</v>
      </c>
      <c r="P41" s="21">
        <v>0</v>
      </c>
      <c r="Q41" s="18" t="s">
        <v>37</v>
      </c>
      <c r="R41" t="s">
        <v>38</v>
      </c>
    </row>
    <row r="42" spans="2:18">
      <c r="B42">
        <v>36</v>
      </c>
      <c r="C42" t="s">
        <v>7</v>
      </c>
      <c r="D42">
        <v>4</v>
      </c>
      <c r="E42" t="s">
        <v>14</v>
      </c>
      <c r="F42">
        <v>10200</v>
      </c>
      <c r="G42" t="s">
        <v>15</v>
      </c>
      <c r="H42" t="s">
        <v>10</v>
      </c>
      <c r="I42">
        <v>7242</v>
      </c>
      <c r="J42" s="16">
        <v>-0.4526056826314101</v>
      </c>
      <c r="K42" s="16">
        <v>-0.31577936769754994</v>
      </c>
      <c r="L42" t="s">
        <v>28</v>
      </c>
      <c r="O42" s="21" t="s">
        <v>39</v>
      </c>
      <c r="P42" s="21">
        <v>0.10050378152592118</v>
      </c>
      <c r="Q42" s="19" t="s">
        <v>8</v>
      </c>
      <c r="R42" s="20">
        <v>9696.1304347826081</v>
      </c>
    </row>
    <row r="43" spans="2:18">
      <c r="B43">
        <v>37</v>
      </c>
      <c r="C43" t="s">
        <v>17</v>
      </c>
      <c r="D43">
        <v>1</v>
      </c>
      <c r="E43" t="s">
        <v>12</v>
      </c>
      <c r="F43">
        <v>5800</v>
      </c>
      <c r="G43" t="s">
        <v>9</v>
      </c>
      <c r="H43" t="s">
        <v>16</v>
      </c>
      <c r="I43">
        <v>4118</v>
      </c>
      <c r="J43" s="16">
        <v>-1.1610319684892694</v>
      </c>
      <c r="K43" s="16">
        <v>-1.0908741793188088</v>
      </c>
      <c r="L43" t="s">
        <v>30</v>
      </c>
      <c r="O43" s="21" t="s">
        <v>40</v>
      </c>
      <c r="P43" s="21">
        <v>-0.31577936769754994</v>
      </c>
      <c r="Q43" s="19" t="s">
        <v>12</v>
      </c>
      <c r="R43" s="20">
        <v>9414.6</v>
      </c>
    </row>
    <row r="44" spans="2:18">
      <c r="B44">
        <v>38</v>
      </c>
      <c r="C44" t="s">
        <v>19</v>
      </c>
      <c r="D44">
        <v>11</v>
      </c>
      <c r="E44" t="s">
        <v>14</v>
      </c>
      <c r="F44">
        <v>23800</v>
      </c>
      <c r="G44" t="s">
        <v>13</v>
      </c>
      <c r="H44" t="s">
        <v>10</v>
      </c>
      <c r="I44">
        <v>16898</v>
      </c>
      <c r="J44" s="16">
        <v>1.7370755645656097</v>
      </c>
      <c r="K44" s="16">
        <v>1.4927751927520541</v>
      </c>
      <c r="L44" t="s">
        <v>29</v>
      </c>
      <c r="O44" s="21" t="s">
        <v>41</v>
      </c>
      <c r="P44" s="21">
        <v>-1.0908741793188088</v>
      </c>
      <c r="Q44" s="19" t="s">
        <v>18</v>
      </c>
      <c r="R44" s="20">
        <v>9095.4736842105267</v>
      </c>
    </row>
    <row r="45" spans="2:18">
      <c r="B45">
        <v>39</v>
      </c>
      <c r="C45" t="s">
        <v>7</v>
      </c>
      <c r="D45">
        <v>3</v>
      </c>
      <c r="E45" t="s">
        <v>18</v>
      </c>
      <c r="F45">
        <v>9700</v>
      </c>
      <c r="G45" t="s">
        <v>15</v>
      </c>
      <c r="H45" t="s">
        <v>16</v>
      </c>
      <c r="I45">
        <v>6887</v>
      </c>
      <c r="J45" s="16">
        <v>-0.53310866966071235</v>
      </c>
      <c r="K45" s="16">
        <v>-0.57414430490463619</v>
      </c>
      <c r="L45" t="s">
        <v>28</v>
      </c>
      <c r="O45" s="21" t="s">
        <v>42</v>
      </c>
      <c r="P45" s="21">
        <v>0.99999999999999978</v>
      </c>
      <c r="Q45" s="19" t="s">
        <v>14</v>
      </c>
      <c r="R45" s="20">
        <v>8751.4074074074069</v>
      </c>
    </row>
    <row r="46" spans="2:18">
      <c r="B46">
        <v>40</v>
      </c>
      <c r="C46" t="s">
        <v>11</v>
      </c>
      <c r="D46">
        <v>7</v>
      </c>
      <c r="E46" t="s">
        <v>8</v>
      </c>
      <c r="F46">
        <v>15500</v>
      </c>
      <c r="G46" t="s">
        <v>13</v>
      </c>
      <c r="H46" t="s">
        <v>10</v>
      </c>
      <c r="I46">
        <v>11005</v>
      </c>
      <c r="J46" s="16">
        <v>0.40072597987919323</v>
      </c>
      <c r="K46" s="16">
        <v>0.45931544392370893</v>
      </c>
      <c r="L46" t="s">
        <v>29</v>
      </c>
      <c r="O46" s="21" t="s">
        <v>43</v>
      </c>
      <c r="P46" s="21">
        <v>0.99999999999999967</v>
      </c>
      <c r="Q46" s="19" t="s">
        <v>36</v>
      </c>
      <c r="R46" s="20">
        <v>9237.8888888888887</v>
      </c>
    </row>
    <row r="47" spans="2:18">
      <c r="B47">
        <v>41</v>
      </c>
      <c r="C47" t="s">
        <v>7</v>
      </c>
      <c r="D47">
        <v>5</v>
      </c>
      <c r="E47" t="s">
        <v>12</v>
      </c>
      <c r="F47">
        <v>12100</v>
      </c>
      <c r="G47" t="s">
        <v>15</v>
      </c>
      <c r="H47" t="s">
        <v>10</v>
      </c>
      <c r="I47">
        <v>8591</v>
      </c>
      <c r="J47" s="16">
        <v>-0.14669433192006173</v>
      </c>
      <c r="K47" s="16">
        <v>-5.7414430490463644E-2</v>
      </c>
      <c r="L47" t="s">
        <v>28</v>
      </c>
      <c r="O47" s="21" t="s">
        <v>44</v>
      </c>
      <c r="P47" s="21">
        <v>-0.39639633234731297</v>
      </c>
    </row>
    <row r="48" spans="2:18">
      <c r="B48">
        <v>42</v>
      </c>
      <c r="C48" t="s">
        <v>7</v>
      </c>
      <c r="D48">
        <v>2</v>
      </c>
      <c r="E48" t="s">
        <v>14</v>
      </c>
      <c r="F48">
        <v>8300</v>
      </c>
      <c r="G48" t="s">
        <v>9</v>
      </c>
      <c r="H48" t="s">
        <v>16</v>
      </c>
      <c r="I48">
        <v>5893</v>
      </c>
      <c r="J48" s="16">
        <v>-0.75851703334275844</v>
      </c>
      <c r="K48" s="16">
        <v>-0.8325092421117225</v>
      </c>
      <c r="L48" t="s">
        <v>28</v>
      </c>
      <c r="O48" s="21" t="s">
        <v>45</v>
      </c>
      <c r="P48" s="21">
        <v>0.78520989403127939</v>
      </c>
    </row>
    <row r="49" spans="2:18">
      <c r="B49">
        <v>43</v>
      </c>
      <c r="C49" t="s">
        <v>17</v>
      </c>
      <c r="D49">
        <v>0.5</v>
      </c>
      <c r="E49" t="s">
        <v>18</v>
      </c>
      <c r="F49">
        <v>5600</v>
      </c>
      <c r="G49" t="s">
        <v>9</v>
      </c>
      <c r="H49" t="s">
        <v>10</v>
      </c>
      <c r="I49">
        <v>3976</v>
      </c>
      <c r="J49" s="16">
        <v>-1.1932331633009903</v>
      </c>
      <c r="K49" s="16">
        <v>-1.220056647922352</v>
      </c>
      <c r="L49" t="s">
        <v>30</v>
      </c>
      <c r="O49" s="21" t="s">
        <v>46</v>
      </c>
      <c r="P49" s="21">
        <v>3.7462915895027518</v>
      </c>
    </row>
    <row r="50" spans="2:18">
      <c r="B50">
        <v>44</v>
      </c>
      <c r="C50" t="s">
        <v>11</v>
      </c>
      <c r="D50">
        <v>8</v>
      </c>
      <c r="E50" t="s">
        <v>18</v>
      </c>
      <c r="F50">
        <v>16500</v>
      </c>
      <c r="G50" t="s">
        <v>13</v>
      </c>
      <c r="H50" t="s">
        <v>10</v>
      </c>
      <c r="I50">
        <v>11715</v>
      </c>
      <c r="J50" s="16">
        <v>0.56173195393779762</v>
      </c>
      <c r="K50" s="16">
        <v>0.71768038113079524</v>
      </c>
      <c r="L50" t="s">
        <v>29</v>
      </c>
      <c r="O50" s="21" t="s">
        <v>47</v>
      </c>
      <c r="P50" s="21">
        <v>-1.220056647922352</v>
      </c>
    </row>
    <row r="51" spans="2:18">
      <c r="B51">
        <v>45</v>
      </c>
      <c r="C51" t="s">
        <v>7</v>
      </c>
      <c r="D51">
        <v>4</v>
      </c>
      <c r="E51" t="s">
        <v>12</v>
      </c>
      <c r="F51">
        <v>10900</v>
      </c>
      <c r="G51" t="s">
        <v>15</v>
      </c>
      <c r="H51" t="s">
        <v>10</v>
      </c>
      <c r="I51">
        <v>7739</v>
      </c>
      <c r="J51" s="16">
        <v>-0.339901500790387</v>
      </c>
      <c r="K51" s="16">
        <v>-0.31577936769754994</v>
      </c>
      <c r="L51" t="s">
        <v>28</v>
      </c>
      <c r="O51" s="21" t="s">
        <v>48</v>
      </c>
      <c r="P51" s="21">
        <v>2.5262349415803995</v>
      </c>
    </row>
    <row r="52" spans="2:18">
      <c r="B52">
        <v>46</v>
      </c>
      <c r="C52" t="s">
        <v>19</v>
      </c>
      <c r="D52">
        <v>12</v>
      </c>
      <c r="E52" t="s">
        <v>12</v>
      </c>
      <c r="F52">
        <v>24500</v>
      </c>
      <c r="G52" t="s">
        <v>13</v>
      </c>
      <c r="H52" t="s">
        <v>10</v>
      </c>
      <c r="I52">
        <v>17395</v>
      </c>
      <c r="J52" s="16">
        <v>1.8497797464066328</v>
      </c>
      <c r="K52" s="16">
        <v>1.7511401299591405</v>
      </c>
      <c r="L52" t="s">
        <v>29</v>
      </c>
      <c r="O52" s="21" t="s">
        <v>49</v>
      </c>
      <c r="P52" s="21">
        <v>0</v>
      </c>
      <c r="Q52" s="18" t="s">
        <v>37</v>
      </c>
      <c r="R52" t="s">
        <v>38</v>
      </c>
    </row>
    <row r="53" spans="2:18" ht="13.5" thickBot="1">
      <c r="B53">
        <v>47</v>
      </c>
      <c r="C53" t="s">
        <v>7</v>
      </c>
      <c r="D53">
        <v>3</v>
      </c>
      <c r="E53" t="s">
        <v>8</v>
      </c>
      <c r="F53">
        <v>9400</v>
      </c>
      <c r="G53" t="s">
        <v>15</v>
      </c>
      <c r="H53" t="s">
        <v>16</v>
      </c>
      <c r="I53">
        <v>6674</v>
      </c>
      <c r="J53" s="16">
        <v>-0.58141046187829359</v>
      </c>
      <c r="K53" s="16">
        <v>-0.57414430490463619</v>
      </c>
      <c r="L53" t="s">
        <v>28</v>
      </c>
      <c r="O53" s="22" t="s">
        <v>50</v>
      </c>
      <c r="P53" s="22">
        <v>99</v>
      </c>
      <c r="Q53" s="19" t="s">
        <v>16</v>
      </c>
      <c r="R53" s="20">
        <v>5653.7037037037035</v>
      </c>
    </row>
    <row r="54" spans="2:18">
      <c r="B54">
        <v>48</v>
      </c>
      <c r="C54" t="s">
        <v>7</v>
      </c>
      <c r="D54">
        <v>2</v>
      </c>
      <c r="E54" t="s">
        <v>18</v>
      </c>
      <c r="F54">
        <v>8700</v>
      </c>
      <c r="G54" t="s">
        <v>9</v>
      </c>
      <c r="H54" t="s">
        <v>16</v>
      </c>
      <c r="I54">
        <v>6177</v>
      </c>
      <c r="J54" s="16">
        <v>-0.69411464371931675</v>
      </c>
      <c r="K54" s="16">
        <v>-0.8325092421117225</v>
      </c>
      <c r="L54" t="s">
        <v>28</v>
      </c>
      <c r="Q54" s="19" t="s">
        <v>10</v>
      </c>
      <c r="R54" s="20">
        <v>10581.958333333334</v>
      </c>
    </row>
    <row r="55" spans="2:18">
      <c r="B55">
        <v>49</v>
      </c>
      <c r="C55" t="s">
        <v>11</v>
      </c>
      <c r="D55">
        <v>6</v>
      </c>
      <c r="E55" t="s">
        <v>14</v>
      </c>
      <c r="F55">
        <v>14300</v>
      </c>
      <c r="G55" t="s">
        <v>13</v>
      </c>
      <c r="H55" t="s">
        <v>10</v>
      </c>
      <c r="I55">
        <v>10153</v>
      </c>
      <c r="J55" s="16">
        <v>0.20751881100886793</v>
      </c>
      <c r="K55" s="16">
        <v>0.20095050671662265</v>
      </c>
      <c r="L55" t="s">
        <v>29</v>
      </c>
      <c r="Q55" s="19" t="s">
        <v>36</v>
      </c>
      <c r="R55" s="20">
        <v>9237.8888888888887</v>
      </c>
    </row>
    <row r="56" spans="2:18">
      <c r="B56">
        <v>50</v>
      </c>
      <c r="C56" t="s">
        <v>7</v>
      </c>
      <c r="D56">
        <v>5</v>
      </c>
      <c r="E56" t="s">
        <v>8</v>
      </c>
      <c r="F56">
        <v>12500</v>
      </c>
      <c r="G56" t="s">
        <v>15</v>
      </c>
      <c r="H56" t="s">
        <v>10</v>
      </c>
      <c r="I56">
        <v>8875</v>
      </c>
      <c r="J56" s="16">
        <v>-8.2291942296619985E-2</v>
      </c>
      <c r="K56" s="16">
        <v>-5.7414430490463644E-2</v>
      </c>
      <c r="L56" t="s">
        <v>28</v>
      </c>
      <c r="O56" s="18" t="s">
        <v>37</v>
      </c>
      <c r="P56" t="s">
        <v>38</v>
      </c>
    </row>
    <row r="57" spans="2:18">
      <c r="B57">
        <v>51</v>
      </c>
      <c r="C57" t="s">
        <v>17</v>
      </c>
      <c r="D57">
        <v>1</v>
      </c>
      <c r="E57" t="s">
        <v>18</v>
      </c>
      <c r="F57">
        <v>6000</v>
      </c>
      <c r="G57" t="s">
        <v>9</v>
      </c>
      <c r="H57" t="s">
        <v>16</v>
      </c>
      <c r="I57">
        <v>4260</v>
      </c>
      <c r="J57" s="16">
        <v>-1.1288307736775485</v>
      </c>
      <c r="K57" s="16">
        <v>-1.0908741793188088</v>
      </c>
      <c r="L57" t="s">
        <v>30</v>
      </c>
      <c r="O57" s="19" t="s">
        <v>13</v>
      </c>
      <c r="P57" s="20">
        <v>14052.243243243243</v>
      </c>
    </row>
    <row r="58" spans="2:18">
      <c r="B58">
        <v>52</v>
      </c>
      <c r="C58" t="s">
        <v>7</v>
      </c>
      <c r="D58">
        <v>3</v>
      </c>
      <c r="E58" t="s">
        <v>12</v>
      </c>
      <c r="F58">
        <v>9700</v>
      </c>
      <c r="G58" t="s">
        <v>15</v>
      </c>
      <c r="H58" t="s">
        <v>10</v>
      </c>
      <c r="I58">
        <v>6887</v>
      </c>
      <c r="J58" s="16">
        <v>-0.53310866966071235</v>
      </c>
      <c r="K58" s="16">
        <v>-0.57414430490463619</v>
      </c>
      <c r="L58" t="s">
        <v>28</v>
      </c>
      <c r="O58" s="19" t="s">
        <v>9</v>
      </c>
      <c r="P58" s="20">
        <v>5058.1379310344828</v>
      </c>
    </row>
    <row r="59" spans="2:18">
      <c r="B59">
        <v>53</v>
      </c>
      <c r="C59" t="s">
        <v>11</v>
      </c>
      <c r="D59">
        <v>7</v>
      </c>
      <c r="E59" t="s">
        <v>8</v>
      </c>
      <c r="F59">
        <v>16000</v>
      </c>
      <c r="G59" t="s">
        <v>13</v>
      </c>
      <c r="H59" t="s">
        <v>10</v>
      </c>
      <c r="I59">
        <v>11360</v>
      </c>
      <c r="J59" s="16">
        <v>0.48122896690849543</v>
      </c>
      <c r="K59" s="16">
        <v>0.45931544392370893</v>
      </c>
      <c r="L59" t="s">
        <v>29</v>
      </c>
      <c r="O59" s="19" t="s">
        <v>15</v>
      </c>
      <c r="P59" s="20">
        <v>7513.090909090909</v>
      </c>
    </row>
    <row r="60" spans="2:18">
      <c r="B60">
        <v>54</v>
      </c>
      <c r="C60" t="s">
        <v>7</v>
      </c>
      <c r="D60">
        <v>4</v>
      </c>
      <c r="E60" t="s">
        <v>14</v>
      </c>
      <c r="F60">
        <v>10400</v>
      </c>
      <c r="G60" t="s">
        <v>15</v>
      </c>
      <c r="H60" t="s">
        <v>10</v>
      </c>
      <c r="I60">
        <v>7384</v>
      </c>
      <c r="J60" s="16">
        <v>-0.4204044878196892</v>
      </c>
      <c r="K60" s="16">
        <v>-0.31577936769754994</v>
      </c>
      <c r="L60" t="s">
        <v>28</v>
      </c>
      <c r="O60" s="19" t="s">
        <v>36</v>
      </c>
      <c r="P60" s="20">
        <v>9237.8888888888887</v>
      </c>
    </row>
    <row r="61" spans="2:18">
      <c r="B61">
        <v>55</v>
      </c>
      <c r="C61" t="s">
        <v>19</v>
      </c>
      <c r="D61">
        <v>11</v>
      </c>
      <c r="E61" t="s">
        <v>8</v>
      </c>
      <c r="F61">
        <v>23500</v>
      </c>
      <c r="G61" t="s">
        <v>13</v>
      </c>
      <c r="H61" t="s">
        <v>10</v>
      </c>
      <c r="I61">
        <v>16685</v>
      </c>
      <c r="J61" s="16">
        <v>1.6887737723480285</v>
      </c>
      <c r="K61" s="16">
        <v>1.4927751927520541</v>
      </c>
      <c r="L61" t="s">
        <v>29</v>
      </c>
    </row>
    <row r="62" spans="2:18">
      <c r="B62">
        <v>56</v>
      </c>
      <c r="C62" t="s">
        <v>7</v>
      </c>
      <c r="D62">
        <v>2</v>
      </c>
      <c r="E62" t="s">
        <v>12</v>
      </c>
      <c r="F62">
        <v>8900</v>
      </c>
      <c r="G62" t="s">
        <v>9</v>
      </c>
      <c r="H62" t="s">
        <v>16</v>
      </c>
      <c r="I62">
        <v>6319</v>
      </c>
      <c r="J62" s="16">
        <v>-0.66191344890759585</v>
      </c>
      <c r="K62" s="16">
        <v>-0.8325092421117225</v>
      </c>
      <c r="L62" t="s">
        <v>28</v>
      </c>
    </row>
    <row r="63" spans="2:18">
      <c r="B63">
        <v>57</v>
      </c>
      <c r="C63" t="s">
        <v>17</v>
      </c>
      <c r="D63">
        <v>1</v>
      </c>
      <c r="E63" t="s">
        <v>14</v>
      </c>
      <c r="F63">
        <v>6300</v>
      </c>
      <c r="G63" t="s">
        <v>9</v>
      </c>
      <c r="H63" t="s">
        <v>10</v>
      </c>
      <c r="I63">
        <v>4473</v>
      </c>
      <c r="J63" s="16">
        <v>-1.0805289814599672</v>
      </c>
      <c r="K63" s="16">
        <v>-1.0908741793188088</v>
      </c>
      <c r="L63" t="s">
        <v>30</v>
      </c>
    </row>
    <row r="64" spans="2:18">
      <c r="B64">
        <v>58</v>
      </c>
      <c r="C64" t="s">
        <v>11</v>
      </c>
      <c r="D64">
        <v>8</v>
      </c>
      <c r="E64" t="s">
        <v>12</v>
      </c>
      <c r="F64">
        <v>16800</v>
      </c>
      <c r="G64" t="s">
        <v>13</v>
      </c>
      <c r="H64" t="s">
        <v>10</v>
      </c>
      <c r="I64">
        <v>11928</v>
      </c>
      <c r="J64" s="16">
        <v>0.61003374615537898</v>
      </c>
      <c r="K64" s="16">
        <v>0.71768038113079524</v>
      </c>
      <c r="L64" t="s">
        <v>29</v>
      </c>
    </row>
    <row r="65" spans="2:12">
      <c r="B65">
        <v>59</v>
      </c>
      <c r="C65" t="s">
        <v>7</v>
      </c>
      <c r="D65">
        <v>5</v>
      </c>
      <c r="E65" t="s">
        <v>18</v>
      </c>
      <c r="F65">
        <v>12000</v>
      </c>
      <c r="G65" t="s">
        <v>15</v>
      </c>
      <c r="H65" t="s">
        <v>10</v>
      </c>
      <c r="I65">
        <v>8520</v>
      </c>
      <c r="J65" s="16">
        <v>-0.16279492932592218</v>
      </c>
      <c r="K65" s="16">
        <v>-5.7414430490463644E-2</v>
      </c>
      <c r="L65" t="s">
        <v>28</v>
      </c>
    </row>
    <row r="66" spans="2:12">
      <c r="B66">
        <v>60</v>
      </c>
      <c r="C66" t="s">
        <v>19</v>
      </c>
      <c r="D66">
        <v>13</v>
      </c>
      <c r="E66" t="s">
        <v>14</v>
      </c>
      <c r="F66">
        <v>25800</v>
      </c>
      <c r="G66" t="s">
        <v>13</v>
      </c>
      <c r="H66" t="s">
        <v>10</v>
      </c>
      <c r="I66">
        <v>18318</v>
      </c>
      <c r="J66" s="16">
        <v>2.0590875126828188</v>
      </c>
      <c r="K66" s="16">
        <v>2.0095050671662267</v>
      </c>
      <c r="L66" t="s">
        <v>29</v>
      </c>
    </row>
    <row r="67" spans="2:12">
      <c r="B67">
        <v>61</v>
      </c>
      <c r="C67" t="s">
        <v>7</v>
      </c>
      <c r="D67">
        <v>3</v>
      </c>
      <c r="E67" t="s">
        <v>8</v>
      </c>
      <c r="F67">
        <v>9500</v>
      </c>
      <c r="G67" t="s">
        <v>15</v>
      </c>
      <c r="H67" t="s">
        <v>10</v>
      </c>
      <c r="I67">
        <v>6745</v>
      </c>
      <c r="J67" s="16">
        <v>-0.56530986447243314</v>
      </c>
      <c r="K67" s="16">
        <v>-0.57414430490463619</v>
      </c>
      <c r="L67" t="s">
        <v>28</v>
      </c>
    </row>
    <row r="68" spans="2:12">
      <c r="B68">
        <v>62</v>
      </c>
      <c r="C68" t="s">
        <v>11</v>
      </c>
      <c r="D68">
        <v>6</v>
      </c>
      <c r="E68" t="s">
        <v>12</v>
      </c>
      <c r="F68">
        <v>14800</v>
      </c>
      <c r="G68" t="s">
        <v>13</v>
      </c>
      <c r="H68" t="s">
        <v>10</v>
      </c>
      <c r="I68">
        <v>10508</v>
      </c>
      <c r="J68" s="16">
        <v>0.28802179803817013</v>
      </c>
      <c r="K68" s="16">
        <v>0.20095050671662265</v>
      </c>
      <c r="L68" t="s">
        <v>29</v>
      </c>
    </row>
    <row r="69" spans="2:12">
      <c r="B69">
        <v>63</v>
      </c>
      <c r="C69" t="s">
        <v>7</v>
      </c>
      <c r="D69">
        <v>4</v>
      </c>
      <c r="E69" t="s">
        <v>14</v>
      </c>
      <c r="F69">
        <v>11000</v>
      </c>
      <c r="G69" t="s">
        <v>15</v>
      </c>
      <c r="H69" t="s">
        <v>10</v>
      </c>
      <c r="I69">
        <v>7810</v>
      </c>
      <c r="J69" s="16">
        <v>-0.32380090338452661</v>
      </c>
      <c r="K69" s="16">
        <v>-0.31577936769754994</v>
      </c>
      <c r="L69" t="s">
        <v>28</v>
      </c>
    </row>
    <row r="70" spans="2:12">
      <c r="B70">
        <v>64</v>
      </c>
      <c r="C70" t="s">
        <v>17</v>
      </c>
      <c r="D70">
        <v>1</v>
      </c>
      <c r="E70" t="s">
        <v>12</v>
      </c>
      <c r="F70">
        <v>6000</v>
      </c>
      <c r="G70" t="s">
        <v>9</v>
      </c>
      <c r="H70" t="s">
        <v>16</v>
      </c>
      <c r="I70">
        <v>4260</v>
      </c>
      <c r="J70" s="16">
        <v>-1.1288307736775485</v>
      </c>
      <c r="K70" s="16">
        <v>-1.0908741793188088</v>
      </c>
      <c r="L70" t="s">
        <v>30</v>
      </c>
    </row>
    <row r="71" spans="2:12">
      <c r="B71">
        <v>65</v>
      </c>
      <c r="C71" t="s">
        <v>19</v>
      </c>
      <c r="D71">
        <v>12</v>
      </c>
      <c r="E71" t="s">
        <v>18</v>
      </c>
      <c r="F71">
        <v>24200</v>
      </c>
      <c r="G71" t="s">
        <v>13</v>
      </c>
      <c r="H71" t="s">
        <v>10</v>
      </c>
      <c r="I71">
        <v>17182</v>
      </c>
      <c r="J71" s="16">
        <v>1.8014779541890515</v>
      </c>
      <c r="K71" s="16">
        <v>1.7511401299591405</v>
      </c>
      <c r="L71" t="s">
        <v>29</v>
      </c>
    </row>
    <row r="72" spans="2:12">
      <c r="B72">
        <v>66</v>
      </c>
      <c r="C72" t="s">
        <v>7</v>
      </c>
      <c r="D72">
        <v>2</v>
      </c>
      <c r="E72" t="s">
        <v>8</v>
      </c>
      <c r="F72">
        <v>8800</v>
      </c>
      <c r="G72" t="s">
        <v>9</v>
      </c>
      <c r="H72" t="s">
        <v>16</v>
      </c>
      <c r="I72">
        <v>6248</v>
      </c>
      <c r="J72" s="16">
        <v>-0.6780140463134563</v>
      </c>
      <c r="K72" s="16">
        <v>-0.8325092421117225</v>
      </c>
      <c r="L72" t="s">
        <v>28</v>
      </c>
    </row>
    <row r="73" spans="2:12">
      <c r="B73">
        <v>67</v>
      </c>
      <c r="C73" t="s">
        <v>11</v>
      </c>
      <c r="D73">
        <v>9</v>
      </c>
      <c r="E73" t="s">
        <v>14</v>
      </c>
      <c r="F73">
        <v>17000</v>
      </c>
      <c r="G73" t="s">
        <v>13</v>
      </c>
      <c r="H73" t="s">
        <v>10</v>
      </c>
      <c r="I73">
        <v>12070</v>
      </c>
      <c r="J73" s="16">
        <v>0.64223494096709977</v>
      </c>
      <c r="K73" s="16">
        <v>0.97604531833788155</v>
      </c>
      <c r="L73" t="s">
        <v>29</v>
      </c>
    </row>
    <row r="74" spans="2:12">
      <c r="B74">
        <v>68</v>
      </c>
      <c r="C74" t="s">
        <v>7</v>
      </c>
      <c r="D74">
        <v>5</v>
      </c>
      <c r="E74" t="s">
        <v>12</v>
      </c>
      <c r="F74">
        <v>11900</v>
      </c>
      <c r="G74" t="s">
        <v>15</v>
      </c>
      <c r="H74" t="s">
        <v>10</v>
      </c>
      <c r="I74">
        <v>8449</v>
      </c>
      <c r="J74" s="16">
        <v>-0.17889552673178263</v>
      </c>
      <c r="K74" s="16">
        <v>-5.7414430490463644E-2</v>
      </c>
      <c r="L74" t="s">
        <v>28</v>
      </c>
    </row>
    <row r="75" spans="2:12">
      <c r="B75">
        <v>69</v>
      </c>
      <c r="C75" t="s">
        <v>17</v>
      </c>
      <c r="D75">
        <v>1</v>
      </c>
      <c r="E75" t="s">
        <v>14</v>
      </c>
      <c r="F75">
        <v>6500</v>
      </c>
      <c r="G75" t="s">
        <v>9</v>
      </c>
      <c r="H75" t="s">
        <v>10</v>
      </c>
      <c r="I75">
        <v>4615</v>
      </c>
      <c r="J75" s="16">
        <v>-1.0483277866482463</v>
      </c>
      <c r="K75" s="16">
        <v>-1.0908741793188088</v>
      </c>
      <c r="L75" t="s">
        <v>30</v>
      </c>
    </row>
    <row r="76" spans="2:12">
      <c r="B76">
        <v>70</v>
      </c>
      <c r="C76" t="s">
        <v>19</v>
      </c>
      <c r="D76">
        <v>14</v>
      </c>
      <c r="E76" t="s">
        <v>12</v>
      </c>
      <c r="F76">
        <v>26800</v>
      </c>
      <c r="G76" t="s">
        <v>13</v>
      </c>
      <c r="H76" t="s">
        <v>10</v>
      </c>
      <c r="I76">
        <v>19028</v>
      </c>
      <c r="J76" s="16">
        <v>2.220093486741423</v>
      </c>
      <c r="K76" s="16">
        <v>2.2678700043733131</v>
      </c>
      <c r="L76" t="s">
        <v>29</v>
      </c>
    </row>
    <row r="77" spans="2:12">
      <c r="B77">
        <v>71</v>
      </c>
      <c r="C77" t="s">
        <v>7</v>
      </c>
      <c r="D77">
        <v>3</v>
      </c>
      <c r="E77" t="s">
        <v>18</v>
      </c>
      <c r="F77">
        <v>9800</v>
      </c>
      <c r="G77" t="s">
        <v>15</v>
      </c>
      <c r="H77" t="s">
        <v>16</v>
      </c>
      <c r="I77">
        <v>6958</v>
      </c>
      <c r="J77" s="16">
        <v>-0.5170080722548519</v>
      </c>
      <c r="K77" s="16">
        <v>-0.57414430490463619</v>
      </c>
      <c r="L77" t="s">
        <v>28</v>
      </c>
    </row>
    <row r="78" spans="2:12">
      <c r="B78">
        <v>72</v>
      </c>
      <c r="C78" t="s">
        <v>11</v>
      </c>
      <c r="D78">
        <v>7</v>
      </c>
      <c r="E78" t="s">
        <v>8</v>
      </c>
      <c r="F78">
        <v>15900</v>
      </c>
      <c r="G78" t="s">
        <v>13</v>
      </c>
      <c r="H78" t="s">
        <v>10</v>
      </c>
      <c r="I78">
        <v>11289</v>
      </c>
      <c r="J78" s="16">
        <v>0.46512836950263498</v>
      </c>
      <c r="K78" s="16">
        <v>0.45931544392370893</v>
      </c>
      <c r="L78" t="s">
        <v>29</v>
      </c>
    </row>
    <row r="79" spans="2:12">
      <c r="B79">
        <v>73</v>
      </c>
      <c r="C79" t="s">
        <v>7</v>
      </c>
      <c r="D79">
        <v>4</v>
      </c>
      <c r="E79" t="s">
        <v>14</v>
      </c>
      <c r="F79">
        <v>10700</v>
      </c>
      <c r="G79" t="s">
        <v>15</v>
      </c>
      <c r="H79" t="s">
        <v>10</v>
      </c>
      <c r="I79">
        <v>7597</v>
      </c>
      <c r="J79" s="16">
        <v>-0.3721026956021079</v>
      </c>
      <c r="K79" s="16">
        <v>-0.31577936769754994</v>
      </c>
      <c r="L79" t="s">
        <v>28</v>
      </c>
    </row>
    <row r="80" spans="2:12">
      <c r="B80">
        <v>74</v>
      </c>
      <c r="C80" t="s">
        <v>17</v>
      </c>
      <c r="D80">
        <v>0.5</v>
      </c>
      <c r="E80" t="s">
        <v>12</v>
      </c>
      <c r="F80">
        <v>5600</v>
      </c>
      <c r="G80" t="s">
        <v>9</v>
      </c>
      <c r="H80" t="s">
        <v>16</v>
      </c>
      <c r="I80">
        <v>3976</v>
      </c>
      <c r="J80" s="16">
        <v>-1.1932331633009903</v>
      </c>
      <c r="K80" s="16">
        <v>-1.220056647922352</v>
      </c>
      <c r="L80" t="s">
        <v>30</v>
      </c>
    </row>
    <row r="81" spans="2:12">
      <c r="B81">
        <v>75</v>
      </c>
      <c r="C81" t="s">
        <v>19</v>
      </c>
      <c r="D81">
        <v>11</v>
      </c>
      <c r="E81" t="s">
        <v>8</v>
      </c>
      <c r="F81">
        <v>23300</v>
      </c>
      <c r="G81" t="s">
        <v>13</v>
      </c>
      <c r="H81" t="s">
        <v>10</v>
      </c>
      <c r="I81">
        <v>16543</v>
      </c>
      <c r="J81" s="16">
        <v>1.6565725775363076</v>
      </c>
      <c r="K81" s="16">
        <v>1.4927751927520541</v>
      </c>
      <c r="L81" t="s">
        <v>29</v>
      </c>
    </row>
    <row r="82" spans="2:12">
      <c r="B82">
        <v>76</v>
      </c>
      <c r="C82" t="s">
        <v>7</v>
      </c>
      <c r="D82">
        <v>2</v>
      </c>
      <c r="E82" t="s">
        <v>14</v>
      </c>
      <c r="F82">
        <v>8600</v>
      </c>
      <c r="G82" t="s">
        <v>9</v>
      </c>
      <c r="H82" t="s">
        <v>16</v>
      </c>
      <c r="I82">
        <v>6106</v>
      </c>
      <c r="J82" s="16">
        <v>-0.71021524112517709</v>
      </c>
      <c r="K82" s="16">
        <v>-0.8325092421117225</v>
      </c>
      <c r="L82" t="s">
        <v>28</v>
      </c>
    </row>
    <row r="83" spans="2:12">
      <c r="B83">
        <v>77</v>
      </c>
      <c r="C83" t="s">
        <v>11</v>
      </c>
      <c r="D83">
        <v>8</v>
      </c>
      <c r="E83" t="s">
        <v>18</v>
      </c>
      <c r="F83">
        <v>16900</v>
      </c>
      <c r="G83" t="s">
        <v>13</v>
      </c>
      <c r="H83" t="s">
        <v>10</v>
      </c>
      <c r="I83">
        <v>11999</v>
      </c>
      <c r="J83" s="16">
        <v>0.62613434356123943</v>
      </c>
      <c r="K83" s="16">
        <v>0.71768038113079524</v>
      </c>
      <c r="L83" t="s">
        <v>29</v>
      </c>
    </row>
    <row r="84" spans="2:12">
      <c r="B84">
        <v>78</v>
      </c>
      <c r="C84" t="s">
        <v>7</v>
      </c>
      <c r="D84">
        <v>5</v>
      </c>
      <c r="E84" t="s">
        <v>12</v>
      </c>
      <c r="F84">
        <v>12200</v>
      </c>
      <c r="G84" t="s">
        <v>15</v>
      </c>
      <c r="H84" t="s">
        <v>10</v>
      </c>
      <c r="I84">
        <v>8662</v>
      </c>
      <c r="J84" s="16">
        <v>-0.13059373451420131</v>
      </c>
      <c r="K84" s="16">
        <v>-5.7414430490463644E-2</v>
      </c>
      <c r="L84" t="s">
        <v>28</v>
      </c>
    </row>
    <row r="85" spans="2:12">
      <c r="B85">
        <v>79</v>
      </c>
      <c r="C85" t="s">
        <v>17</v>
      </c>
      <c r="D85">
        <v>1</v>
      </c>
      <c r="E85" t="s">
        <v>8</v>
      </c>
      <c r="F85">
        <v>6100</v>
      </c>
      <c r="G85" t="s">
        <v>9</v>
      </c>
      <c r="H85" t="s">
        <v>10</v>
      </c>
      <c r="I85">
        <v>4331</v>
      </c>
      <c r="J85" s="16">
        <v>-1.1127301762716881</v>
      </c>
      <c r="K85" s="16">
        <v>-1.0908741793188088</v>
      </c>
      <c r="L85" t="s">
        <v>30</v>
      </c>
    </row>
    <row r="86" spans="2:12">
      <c r="B86">
        <v>80</v>
      </c>
      <c r="C86" t="s">
        <v>19</v>
      </c>
      <c r="D86">
        <v>13</v>
      </c>
      <c r="E86" t="s">
        <v>14</v>
      </c>
      <c r="F86">
        <v>25700</v>
      </c>
      <c r="G86" t="s">
        <v>13</v>
      </c>
      <c r="H86" t="s">
        <v>10</v>
      </c>
      <c r="I86">
        <v>18247</v>
      </c>
      <c r="J86" s="16">
        <v>2.0429869152769582</v>
      </c>
      <c r="K86" s="16">
        <v>2.0095050671662267</v>
      </c>
      <c r="L86" t="s">
        <v>29</v>
      </c>
    </row>
    <row r="87" spans="2:12">
      <c r="B87">
        <v>81</v>
      </c>
      <c r="C87" t="s">
        <v>7</v>
      </c>
      <c r="D87">
        <v>3</v>
      </c>
      <c r="E87" t="s">
        <v>12</v>
      </c>
      <c r="F87">
        <v>9400</v>
      </c>
      <c r="G87" t="s">
        <v>15</v>
      </c>
      <c r="H87" t="s">
        <v>16</v>
      </c>
      <c r="I87">
        <v>6674</v>
      </c>
      <c r="J87" s="16">
        <v>-0.58141046187829359</v>
      </c>
      <c r="K87" s="16">
        <v>-0.57414430490463619</v>
      </c>
      <c r="L87" t="s">
        <v>28</v>
      </c>
    </row>
    <row r="88" spans="2:12">
      <c r="B88">
        <v>82</v>
      </c>
      <c r="C88" t="s">
        <v>11</v>
      </c>
      <c r="D88">
        <v>6</v>
      </c>
      <c r="E88" t="s">
        <v>8</v>
      </c>
      <c r="F88">
        <v>15000</v>
      </c>
      <c r="G88" t="s">
        <v>13</v>
      </c>
      <c r="H88" t="s">
        <v>10</v>
      </c>
      <c r="I88">
        <v>10650</v>
      </c>
      <c r="J88" s="16">
        <v>0.32022299284989103</v>
      </c>
      <c r="K88" s="16">
        <v>0.20095050671662265</v>
      </c>
      <c r="L88" t="s">
        <v>29</v>
      </c>
    </row>
    <row r="89" spans="2:12">
      <c r="B89">
        <v>83</v>
      </c>
      <c r="C89" t="s">
        <v>7</v>
      </c>
      <c r="D89">
        <v>4</v>
      </c>
      <c r="E89" t="s">
        <v>18</v>
      </c>
      <c r="F89">
        <v>10800</v>
      </c>
      <c r="G89" t="s">
        <v>15</v>
      </c>
      <c r="H89" t="s">
        <v>10</v>
      </c>
      <c r="I89">
        <v>7668</v>
      </c>
      <c r="J89" s="16">
        <v>-0.35600209819624745</v>
      </c>
      <c r="K89" s="16">
        <v>-0.31577936769754994</v>
      </c>
      <c r="L89" t="s">
        <v>28</v>
      </c>
    </row>
    <row r="90" spans="2:12">
      <c r="B90">
        <v>84</v>
      </c>
      <c r="C90" t="s">
        <v>17</v>
      </c>
      <c r="D90">
        <v>1</v>
      </c>
      <c r="E90" t="s">
        <v>14</v>
      </c>
      <c r="F90">
        <v>6400</v>
      </c>
      <c r="G90" t="s">
        <v>9</v>
      </c>
      <c r="H90" t="s">
        <v>10</v>
      </c>
      <c r="I90">
        <v>4544</v>
      </c>
      <c r="J90" s="16">
        <v>-1.0644283840541069</v>
      </c>
      <c r="K90" s="16">
        <v>-1.0908741793188088</v>
      </c>
      <c r="L90" t="s">
        <v>30</v>
      </c>
    </row>
    <row r="91" spans="2:12">
      <c r="B91">
        <v>85</v>
      </c>
      <c r="C91" t="s">
        <v>19</v>
      </c>
      <c r="D91">
        <v>12</v>
      </c>
      <c r="E91" t="s">
        <v>12</v>
      </c>
      <c r="F91">
        <v>24600</v>
      </c>
      <c r="G91" t="s">
        <v>13</v>
      </c>
      <c r="H91" t="s">
        <v>10</v>
      </c>
      <c r="I91">
        <v>17466</v>
      </c>
      <c r="J91" s="16">
        <v>1.8658803438124933</v>
      </c>
      <c r="K91" s="16">
        <v>1.7511401299591405</v>
      </c>
      <c r="L91" t="s">
        <v>29</v>
      </c>
    </row>
    <row r="92" spans="2:12">
      <c r="B92">
        <v>86</v>
      </c>
      <c r="C92" t="s">
        <v>7</v>
      </c>
      <c r="D92">
        <v>2</v>
      </c>
      <c r="E92" t="s">
        <v>8</v>
      </c>
      <c r="F92">
        <v>8700</v>
      </c>
      <c r="G92" t="s">
        <v>9</v>
      </c>
      <c r="H92" t="s">
        <v>16</v>
      </c>
      <c r="I92">
        <v>6177</v>
      </c>
      <c r="J92" s="16">
        <v>-0.69411464371931675</v>
      </c>
      <c r="K92" s="16">
        <v>-0.8325092421117225</v>
      </c>
      <c r="L92" t="s">
        <v>28</v>
      </c>
    </row>
    <row r="93" spans="2:12">
      <c r="B93">
        <v>87</v>
      </c>
      <c r="C93" t="s">
        <v>11</v>
      </c>
      <c r="D93">
        <v>9</v>
      </c>
      <c r="E93" t="s">
        <v>14</v>
      </c>
      <c r="F93">
        <v>17100</v>
      </c>
      <c r="G93" t="s">
        <v>13</v>
      </c>
      <c r="H93" t="s">
        <v>10</v>
      </c>
      <c r="I93">
        <v>12141</v>
      </c>
      <c r="J93" s="16">
        <v>0.65833553837296022</v>
      </c>
      <c r="K93" s="16">
        <v>0.97604531833788155</v>
      </c>
      <c r="L93" t="s">
        <v>29</v>
      </c>
    </row>
    <row r="94" spans="2:12">
      <c r="B94">
        <v>88</v>
      </c>
      <c r="C94" t="s">
        <v>7</v>
      </c>
      <c r="D94">
        <v>5</v>
      </c>
      <c r="E94" t="s">
        <v>12</v>
      </c>
      <c r="F94">
        <v>12300</v>
      </c>
      <c r="G94" t="s">
        <v>15</v>
      </c>
      <c r="H94" t="s">
        <v>10</v>
      </c>
      <c r="I94">
        <v>8733</v>
      </c>
      <c r="J94" s="16">
        <v>-0.11449313710834086</v>
      </c>
      <c r="K94" s="16">
        <v>-5.7414430490463644E-2</v>
      </c>
      <c r="L94" t="s">
        <v>28</v>
      </c>
    </row>
    <row r="95" spans="2:12">
      <c r="B95">
        <v>89</v>
      </c>
      <c r="C95" t="s">
        <v>17</v>
      </c>
      <c r="D95">
        <v>0.5</v>
      </c>
      <c r="E95" t="s">
        <v>18</v>
      </c>
      <c r="F95">
        <v>5700</v>
      </c>
      <c r="G95" t="s">
        <v>9</v>
      </c>
      <c r="H95" t="s">
        <v>16</v>
      </c>
      <c r="I95">
        <v>4047</v>
      </c>
      <c r="J95" s="16">
        <v>-1.1771325658951299</v>
      </c>
      <c r="K95" s="16">
        <v>-1.220056647922352</v>
      </c>
      <c r="L95" t="s">
        <v>30</v>
      </c>
    </row>
    <row r="96" spans="2:12">
      <c r="B96">
        <v>90</v>
      </c>
      <c r="C96" t="s">
        <v>19</v>
      </c>
      <c r="D96">
        <v>14</v>
      </c>
      <c r="E96" t="s">
        <v>8</v>
      </c>
      <c r="F96">
        <v>27000</v>
      </c>
      <c r="G96" t="s">
        <v>13</v>
      </c>
      <c r="H96" t="s">
        <v>10</v>
      </c>
      <c r="I96">
        <v>19170</v>
      </c>
      <c r="J96" s="16">
        <v>2.2522946815531437</v>
      </c>
      <c r="K96" s="16">
        <v>2.2678700043733131</v>
      </c>
      <c r="L96" t="s">
        <v>29</v>
      </c>
    </row>
    <row r="97" spans="2:12">
      <c r="B97">
        <v>91</v>
      </c>
      <c r="C97" t="s">
        <v>7</v>
      </c>
      <c r="D97">
        <v>3</v>
      </c>
      <c r="E97" t="s">
        <v>14</v>
      </c>
      <c r="F97">
        <v>9600</v>
      </c>
      <c r="G97" t="s">
        <v>15</v>
      </c>
      <c r="H97" t="s">
        <v>10</v>
      </c>
      <c r="I97">
        <v>6816</v>
      </c>
      <c r="J97" s="16">
        <v>-0.54920926706657269</v>
      </c>
      <c r="K97" s="16">
        <v>-0.57414430490463619</v>
      </c>
      <c r="L97" t="s">
        <v>28</v>
      </c>
    </row>
    <row r="98" spans="2:12">
      <c r="B98">
        <v>92</v>
      </c>
      <c r="C98" t="s">
        <v>11</v>
      </c>
      <c r="D98">
        <v>7</v>
      </c>
      <c r="E98" t="s">
        <v>12</v>
      </c>
      <c r="F98">
        <v>15600</v>
      </c>
      <c r="G98" t="s">
        <v>13</v>
      </c>
      <c r="H98" t="s">
        <v>10</v>
      </c>
      <c r="I98">
        <v>11076</v>
      </c>
      <c r="J98" s="16">
        <v>0.41682657728505368</v>
      </c>
      <c r="K98" s="16">
        <v>0.45931544392370893</v>
      </c>
      <c r="L98" t="s">
        <v>29</v>
      </c>
    </row>
    <row r="99" spans="2:12">
      <c r="B99">
        <v>93</v>
      </c>
      <c r="C99" t="s">
        <v>7</v>
      </c>
      <c r="D99">
        <v>4</v>
      </c>
      <c r="E99" t="s">
        <v>8</v>
      </c>
      <c r="F99">
        <v>10600</v>
      </c>
      <c r="G99" t="s">
        <v>15</v>
      </c>
      <c r="H99" t="s">
        <v>10</v>
      </c>
      <c r="I99">
        <v>7526</v>
      </c>
      <c r="J99" s="16">
        <v>-0.38820329300796835</v>
      </c>
      <c r="K99" s="16">
        <v>-0.31577936769754994</v>
      </c>
      <c r="L99" t="s">
        <v>28</v>
      </c>
    </row>
    <row r="100" spans="2:12">
      <c r="B100">
        <v>94</v>
      </c>
      <c r="C100" t="s">
        <v>17</v>
      </c>
      <c r="D100">
        <v>1</v>
      </c>
      <c r="E100" t="s">
        <v>12</v>
      </c>
      <c r="F100">
        <v>6000</v>
      </c>
      <c r="G100" t="s">
        <v>9</v>
      </c>
      <c r="H100" t="s">
        <v>16</v>
      </c>
      <c r="I100">
        <v>4260</v>
      </c>
      <c r="J100" s="16">
        <v>-1.1288307736775485</v>
      </c>
      <c r="K100" s="16">
        <v>-1.0908741793188088</v>
      </c>
      <c r="L100" t="s">
        <v>30</v>
      </c>
    </row>
    <row r="101" spans="2:12">
      <c r="B101">
        <v>95</v>
      </c>
      <c r="C101" t="s">
        <v>19</v>
      </c>
      <c r="D101">
        <v>11</v>
      </c>
      <c r="E101" t="s">
        <v>18</v>
      </c>
      <c r="F101">
        <v>23900</v>
      </c>
      <c r="G101" t="s">
        <v>13</v>
      </c>
      <c r="H101" t="s">
        <v>10</v>
      </c>
      <c r="I101">
        <v>16969</v>
      </c>
      <c r="J101" s="16">
        <v>1.7531761619714701</v>
      </c>
      <c r="K101" s="16">
        <v>1.4927751927520541</v>
      </c>
      <c r="L101" t="s">
        <v>29</v>
      </c>
    </row>
    <row r="102" spans="2:12">
      <c r="B102">
        <v>96</v>
      </c>
      <c r="C102" t="s">
        <v>7</v>
      </c>
      <c r="D102">
        <v>2</v>
      </c>
      <c r="E102" t="s">
        <v>14</v>
      </c>
      <c r="F102">
        <v>8800</v>
      </c>
      <c r="G102" t="s">
        <v>9</v>
      </c>
      <c r="H102" t="s">
        <v>16</v>
      </c>
      <c r="I102">
        <v>6248</v>
      </c>
      <c r="J102" s="16">
        <v>-0.6780140463134563</v>
      </c>
      <c r="K102" s="16">
        <v>-0.8325092421117225</v>
      </c>
      <c r="L102" t="s">
        <v>28</v>
      </c>
    </row>
    <row r="103" spans="2:12">
      <c r="B103">
        <v>97</v>
      </c>
      <c r="C103" t="s">
        <v>11</v>
      </c>
      <c r="D103">
        <v>8</v>
      </c>
      <c r="E103" t="s">
        <v>8</v>
      </c>
      <c r="F103">
        <v>16600</v>
      </c>
      <c r="G103" t="s">
        <v>13</v>
      </c>
      <c r="H103" t="s">
        <v>10</v>
      </c>
      <c r="I103">
        <v>11786</v>
      </c>
      <c r="J103" s="16">
        <v>0.57783255134365807</v>
      </c>
      <c r="K103" s="16">
        <v>0.71768038113079524</v>
      </c>
      <c r="L103" t="s">
        <v>29</v>
      </c>
    </row>
    <row r="104" spans="2:12">
      <c r="B104">
        <v>98</v>
      </c>
      <c r="C104" t="s">
        <v>7</v>
      </c>
      <c r="D104">
        <v>5</v>
      </c>
      <c r="E104" t="s">
        <v>12</v>
      </c>
      <c r="F104">
        <v>12000</v>
      </c>
      <c r="G104" t="s">
        <v>15</v>
      </c>
      <c r="H104" t="s">
        <v>10</v>
      </c>
      <c r="I104">
        <v>8520</v>
      </c>
      <c r="J104" s="16">
        <v>-0.16279492932592218</v>
      </c>
      <c r="K104" s="16">
        <v>-5.7414430490463644E-2</v>
      </c>
      <c r="L104" t="s">
        <v>28</v>
      </c>
    </row>
    <row r="105" spans="2:12">
      <c r="B105">
        <v>99</v>
      </c>
      <c r="C105" t="s">
        <v>17</v>
      </c>
      <c r="D105">
        <v>1</v>
      </c>
      <c r="E105" t="s">
        <v>14</v>
      </c>
      <c r="F105">
        <v>6500</v>
      </c>
      <c r="G105" t="s">
        <v>9</v>
      </c>
      <c r="H105" t="s">
        <v>10</v>
      </c>
      <c r="I105">
        <v>4615</v>
      </c>
      <c r="J105" s="16">
        <v>-1.0483277866482463</v>
      </c>
      <c r="K105" s="16">
        <v>-1.0908741793188088</v>
      </c>
      <c r="L105" t="s">
        <v>30</v>
      </c>
    </row>
    <row r="106" spans="2:12">
      <c r="B106">
        <v>100</v>
      </c>
      <c r="C106" t="s">
        <v>19</v>
      </c>
      <c r="D106">
        <v>15</v>
      </c>
      <c r="E106" t="s">
        <v>12</v>
      </c>
      <c r="F106">
        <v>28000</v>
      </c>
      <c r="G106" t="s">
        <v>13</v>
      </c>
      <c r="H106" t="s">
        <v>10</v>
      </c>
      <c r="I106">
        <v>19880</v>
      </c>
      <c r="J106" s="16">
        <v>2.413300655611748</v>
      </c>
      <c r="K106" s="16">
        <v>2.5262349415803995</v>
      </c>
      <c r="L106" t="s">
        <v>29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B275-9F2C-4423-A287-6276A77E0F98}">
  <dimension ref="D12:H111"/>
  <sheetViews>
    <sheetView workbookViewId="0">
      <selection activeCell="P14" sqref="P14"/>
    </sheetView>
  </sheetViews>
  <sheetFormatPr defaultColWidth="8.85546875" defaultRowHeight="12.75"/>
  <sheetData>
    <row r="12" spans="4:8">
      <c r="G12" s="24" t="s">
        <v>63</v>
      </c>
      <c r="H12" s="24"/>
    </row>
    <row r="13" spans="4:8">
      <c r="D13" s="16">
        <v>-0.72631583853103754</v>
      </c>
      <c r="E13" s="16">
        <v>-0.8325092421117225</v>
      </c>
      <c r="G13">
        <f>CORREL(D13:D111,E13:E111)</f>
        <v>0.9935862043782131</v>
      </c>
    </row>
    <row r="14" spans="4:8">
      <c r="D14" s="16">
        <v>0.35242418766161188</v>
      </c>
      <c r="E14" s="16">
        <v>0.45931544392370893</v>
      </c>
    </row>
    <row r="15" spans="4:8">
      <c r="D15" s="16">
        <v>-0.6136116566900145</v>
      </c>
      <c r="E15" s="16">
        <v>-0.57414430490463619</v>
      </c>
    </row>
    <row r="16" spans="4:8">
      <c r="D16" s="16">
        <v>-1.0966295788658278</v>
      </c>
      <c r="E16" s="16">
        <v>-1.0908741793188088</v>
      </c>
    </row>
    <row r="17" spans="4:5">
      <c r="D17" s="16">
        <v>-0.35600209819624745</v>
      </c>
      <c r="E17" s="16">
        <v>-0.31577936769754994</v>
      </c>
    </row>
    <row r="18" spans="4:5">
      <c r="D18" s="16">
        <v>1.527767798289424</v>
      </c>
      <c r="E18" s="16">
        <v>1.2344102555449679</v>
      </c>
    </row>
    <row r="19" spans="4:5">
      <c r="D19" s="16">
        <v>0.17531761619714706</v>
      </c>
      <c r="E19" s="16">
        <v>0.20095050671662265</v>
      </c>
    </row>
    <row r="20" spans="4:5">
      <c r="D20" s="16">
        <v>-0.5170080722548519</v>
      </c>
      <c r="E20" s="16">
        <v>-0.57414430490463619</v>
      </c>
    </row>
    <row r="21" spans="4:5">
      <c r="D21" s="16">
        <v>-1.144931371083409</v>
      </c>
      <c r="E21" s="16">
        <v>-1.0908741793188088</v>
      </c>
    </row>
    <row r="22" spans="4:5">
      <c r="D22" s="16">
        <v>-0.11449313710834086</v>
      </c>
      <c r="E22" s="16">
        <v>-5.7414430490463644E-2</v>
      </c>
    </row>
    <row r="23" spans="4:5">
      <c r="D23" s="16">
        <v>1.8980815386242142</v>
      </c>
      <c r="E23" s="16">
        <v>1.7511401299591405</v>
      </c>
    </row>
    <row r="24" spans="4:5">
      <c r="D24" s="16">
        <v>0.59393314874951852</v>
      </c>
      <c r="E24" s="16">
        <v>0.71768038113079524</v>
      </c>
    </row>
    <row r="25" spans="4:5">
      <c r="D25" s="16">
        <v>-0.77461763074861889</v>
      </c>
      <c r="E25" s="16">
        <v>-0.8325092421117225</v>
      </c>
    </row>
    <row r="26" spans="4:5">
      <c r="D26" s="16">
        <v>-1.0483277866482463</v>
      </c>
      <c r="E26" s="16">
        <v>-1.0908741793188088</v>
      </c>
    </row>
    <row r="27" spans="4:5">
      <c r="D27" s="16">
        <v>-0.2915997085728057</v>
      </c>
      <c r="E27" s="16">
        <v>-0.31577936769754994</v>
      </c>
    </row>
    <row r="28" spans="4:5">
      <c r="D28" s="16">
        <v>0.72273792799640202</v>
      </c>
      <c r="E28" s="16">
        <v>0.97604531833788155</v>
      </c>
    </row>
    <row r="29" spans="4:5">
      <c r="D29" s="16">
        <v>-0.56530986447243314</v>
      </c>
      <c r="E29" s="16">
        <v>-0.57414430490463619</v>
      </c>
    </row>
    <row r="30" spans="4:5">
      <c r="D30" s="16">
        <v>1.640471980130447</v>
      </c>
      <c r="E30" s="16">
        <v>1.4927751927520541</v>
      </c>
    </row>
    <row r="31" spans="4:5">
      <c r="D31" s="16">
        <v>-0.6780140463134563</v>
      </c>
      <c r="E31" s="16">
        <v>-0.8325092421117225</v>
      </c>
    </row>
    <row r="32" spans="4:5">
      <c r="D32" s="16">
        <v>-1.2093337607068508</v>
      </c>
      <c r="E32" s="16">
        <v>-1.220056647922352</v>
      </c>
    </row>
    <row r="33" spans="4:5">
      <c r="D33" s="16">
        <v>0.44902777209677452</v>
      </c>
      <c r="E33" s="16">
        <v>0.45931544392370893</v>
      </c>
    </row>
    <row r="34" spans="4:5">
      <c r="D34" s="16">
        <v>-5.0090747484899098E-2</v>
      </c>
      <c r="E34" s="16">
        <v>-5.7414430490463644E-2</v>
      </c>
    </row>
    <row r="35" spans="4:5">
      <c r="D35" s="16">
        <v>-0.54920926706657269</v>
      </c>
      <c r="E35" s="16">
        <v>-0.57414430490463619</v>
      </c>
    </row>
    <row r="36" spans="4:5">
      <c r="D36" s="16">
        <v>2.0107857204652371</v>
      </c>
      <c r="E36" s="16">
        <v>2.0095050671662267</v>
      </c>
    </row>
    <row r="37" spans="4:5">
      <c r="D37" s="16">
        <v>-1.1127301762716881</v>
      </c>
      <c r="E37" s="16">
        <v>-1.0908741793188088</v>
      </c>
    </row>
    <row r="38" spans="4:5">
      <c r="D38" s="16">
        <v>0.51343016172021627</v>
      </c>
      <c r="E38" s="16">
        <v>0.71768038113079524</v>
      </c>
    </row>
    <row r="39" spans="4:5">
      <c r="D39" s="16">
        <v>-0.4043038904138288</v>
      </c>
      <c r="E39" s="16">
        <v>-0.31577936769754994</v>
      </c>
    </row>
    <row r="40" spans="4:5">
      <c r="D40" s="16">
        <v>-0.74241643593689799</v>
      </c>
      <c r="E40" s="16">
        <v>-0.8325092421117225</v>
      </c>
    </row>
    <row r="41" spans="4:5">
      <c r="D41" s="16">
        <v>0.23972000582058881</v>
      </c>
      <c r="E41" s="16">
        <v>0.20095050671662265</v>
      </c>
    </row>
    <row r="42" spans="4:5">
      <c r="D42" s="16">
        <v>-0.59751105928415404</v>
      </c>
      <c r="E42" s="16">
        <v>-0.57414430490463619</v>
      </c>
    </row>
    <row r="43" spans="4:5">
      <c r="D43" s="16">
        <v>-1.0644283840541069</v>
      </c>
      <c r="E43" s="16">
        <v>-1.0908741793188088</v>
      </c>
    </row>
    <row r="44" spans="4:5">
      <c r="D44" s="16">
        <v>-0.19499612413764306</v>
      </c>
      <c r="E44" s="16">
        <v>-5.7414430490463644E-2</v>
      </c>
    </row>
    <row r="45" spans="4:5">
      <c r="D45" s="16">
        <v>0.67443613577882067</v>
      </c>
      <c r="E45" s="16">
        <v>0.97604531833788155</v>
      </c>
    </row>
    <row r="46" spans="4:5">
      <c r="D46" s="16">
        <v>-0.71021524112517709</v>
      </c>
      <c r="E46" s="16">
        <v>-0.8325092421117225</v>
      </c>
    </row>
    <row r="47" spans="4:5">
      <c r="D47" s="16">
        <v>-0.4526056826314101</v>
      </c>
      <c r="E47" s="16">
        <v>-0.31577936769754994</v>
      </c>
    </row>
    <row r="48" spans="4:5">
      <c r="D48" s="16">
        <v>-1.1610319684892694</v>
      </c>
      <c r="E48" s="16">
        <v>-1.0908741793188088</v>
      </c>
    </row>
    <row r="49" spans="4:5">
      <c r="D49" s="16">
        <v>1.7370755645656097</v>
      </c>
      <c r="E49" s="16">
        <v>1.4927751927520541</v>
      </c>
    </row>
    <row r="50" spans="4:5">
      <c r="D50" s="16">
        <v>-0.53310866966071235</v>
      </c>
      <c r="E50" s="16">
        <v>-0.57414430490463619</v>
      </c>
    </row>
    <row r="51" spans="4:5">
      <c r="D51" s="16">
        <v>0.40072597987919323</v>
      </c>
      <c r="E51" s="16">
        <v>0.45931544392370893</v>
      </c>
    </row>
    <row r="52" spans="4:5">
      <c r="D52" s="16">
        <v>-0.14669433192006173</v>
      </c>
      <c r="E52" s="16">
        <v>-5.7414430490463644E-2</v>
      </c>
    </row>
    <row r="53" spans="4:5">
      <c r="D53" s="16">
        <v>-0.75851703334275844</v>
      </c>
      <c r="E53" s="16">
        <v>-0.8325092421117225</v>
      </c>
    </row>
    <row r="54" spans="4:5">
      <c r="D54" s="16">
        <v>-1.1932331633009903</v>
      </c>
      <c r="E54" s="16">
        <v>-1.220056647922352</v>
      </c>
    </row>
    <row r="55" spans="4:5">
      <c r="D55" s="16">
        <v>0.56173195393779762</v>
      </c>
      <c r="E55" s="16">
        <v>0.71768038113079524</v>
      </c>
    </row>
    <row r="56" spans="4:5">
      <c r="D56" s="16">
        <v>-0.339901500790387</v>
      </c>
      <c r="E56" s="16">
        <v>-0.31577936769754994</v>
      </c>
    </row>
    <row r="57" spans="4:5">
      <c r="D57" s="16">
        <v>1.8497797464066328</v>
      </c>
      <c r="E57" s="16">
        <v>1.7511401299591405</v>
      </c>
    </row>
    <row r="58" spans="4:5">
      <c r="D58" s="16">
        <v>-0.58141046187829359</v>
      </c>
      <c r="E58" s="16">
        <v>-0.57414430490463619</v>
      </c>
    </row>
    <row r="59" spans="4:5">
      <c r="D59" s="16">
        <v>-0.69411464371931675</v>
      </c>
      <c r="E59" s="16">
        <v>-0.8325092421117225</v>
      </c>
    </row>
    <row r="60" spans="4:5">
      <c r="D60" s="16">
        <v>0.20751881100886793</v>
      </c>
      <c r="E60" s="16">
        <v>0.20095050671662265</v>
      </c>
    </row>
    <row r="61" spans="4:5">
      <c r="D61" s="16">
        <v>-8.2291942296619985E-2</v>
      </c>
      <c r="E61" s="16">
        <v>-5.7414430490463644E-2</v>
      </c>
    </row>
    <row r="62" spans="4:5">
      <c r="D62" s="16">
        <v>-1.1288307736775485</v>
      </c>
      <c r="E62" s="16">
        <v>-1.0908741793188088</v>
      </c>
    </row>
    <row r="63" spans="4:5">
      <c r="D63" s="16">
        <v>-0.53310866966071235</v>
      </c>
      <c r="E63" s="16">
        <v>-0.57414430490463619</v>
      </c>
    </row>
    <row r="64" spans="4:5">
      <c r="D64" s="16">
        <v>0.48122896690849543</v>
      </c>
      <c r="E64" s="16">
        <v>0.45931544392370893</v>
      </c>
    </row>
    <row r="65" spans="4:5">
      <c r="D65" s="16">
        <v>-0.4204044878196892</v>
      </c>
      <c r="E65" s="16">
        <v>-0.31577936769754994</v>
      </c>
    </row>
    <row r="66" spans="4:5">
      <c r="D66" s="16">
        <v>1.6887737723480285</v>
      </c>
      <c r="E66" s="16">
        <v>1.4927751927520541</v>
      </c>
    </row>
    <row r="67" spans="4:5">
      <c r="D67" s="16">
        <v>-0.66191344890759585</v>
      </c>
      <c r="E67" s="16">
        <v>-0.8325092421117225</v>
      </c>
    </row>
    <row r="68" spans="4:5">
      <c r="D68" s="16">
        <v>-1.0805289814599672</v>
      </c>
      <c r="E68" s="16">
        <v>-1.0908741793188088</v>
      </c>
    </row>
    <row r="69" spans="4:5">
      <c r="D69" s="16">
        <v>0.61003374615537898</v>
      </c>
      <c r="E69" s="16">
        <v>0.71768038113079524</v>
      </c>
    </row>
    <row r="70" spans="4:5">
      <c r="D70" s="16">
        <v>-0.16279492932592218</v>
      </c>
      <c r="E70" s="16">
        <v>-5.7414430490463644E-2</v>
      </c>
    </row>
    <row r="71" spans="4:5">
      <c r="D71" s="16">
        <v>2.0590875126828188</v>
      </c>
      <c r="E71" s="16">
        <v>2.0095050671662267</v>
      </c>
    </row>
    <row r="72" spans="4:5">
      <c r="D72" s="16">
        <v>-0.56530986447243314</v>
      </c>
      <c r="E72" s="16">
        <v>-0.57414430490463619</v>
      </c>
    </row>
    <row r="73" spans="4:5">
      <c r="D73" s="16">
        <v>0.28802179803817013</v>
      </c>
      <c r="E73" s="16">
        <v>0.20095050671662265</v>
      </c>
    </row>
    <row r="74" spans="4:5">
      <c r="D74" s="16">
        <v>-0.32380090338452661</v>
      </c>
      <c r="E74" s="16">
        <v>-0.31577936769754994</v>
      </c>
    </row>
    <row r="75" spans="4:5">
      <c r="D75" s="16">
        <v>-1.1288307736775485</v>
      </c>
      <c r="E75" s="16">
        <v>-1.0908741793188088</v>
      </c>
    </row>
    <row r="76" spans="4:5">
      <c r="D76" s="16">
        <v>1.8014779541890515</v>
      </c>
      <c r="E76" s="16">
        <v>1.7511401299591405</v>
      </c>
    </row>
    <row r="77" spans="4:5">
      <c r="D77" s="16">
        <v>-0.6780140463134563</v>
      </c>
      <c r="E77" s="16">
        <v>-0.8325092421117225</v>
      </c>
    </row>
    <row r="78" spans="4:5">
      <c r="D78" s="16">
        <v>0.64223494096709977</v>
      </c>
      <c r="E78" s="16">
        <v>0.97604531833788155</v>
      </c>
    </row>
    <row r="79" spans="4:5">
      <c r="D79" s="16">
        <v>-0.17889552673178263</v>
      </c>
      <c r="E79" s="16">
        <v>-5.7414430490463644E-2</v>
      </c>
    </row>
    <row r="80" spans="4:5">
      <c r="D80" s="16">
        <v>-1.0483277866482463</v>
      </c>
      <c r="E80" s="16">
        <v>-1.0908741793188088</v>
      </c>
    </row>
    <row r="81" spans="4:5">
      <c r="D81" s="16">
        <v>2.220093486741423</v>
      </c>
      <c r="E81" s="16">
        <v>2.2678700043733131</v>
      </c>
    </row>
    <row r="82" spans="4:5">
      <c r="D82" s="16">
        <v>-0.5170080722548519</v>
      </c>
      <c r="E82" s="16">
        <v>-0.57414430490463619</v>
      </c>
    </row>
    <row r="83" spans="4:5">
      <c r="D83" s="16">
        <v>0.46512836950263498</v>
      </c>
      <c r="E83" s="16">
        <v>0.45931544392370893</v>
      </c>
    </row>
    <row r="84" spans="4:5">
      <c r="D84" s="16">
        <v>-0.3721026956021079</v>
      </c>
      <c r="E84" s="16">
        <v>-0.31577936769754994</v>
      </c>
    </row>
    <row r="85" spans="4:5">
      <c r="D85" s="16">
        <v>-1.1932331633009903</v>
      </c>
      <c r="E85" s="16">
        <v>-1.220056647922352</v>
      </c>
    </row>
    <row r="86" spans="4:5">
      <c r="D86" s="16">
        <v>1.6565725775363076</v>
      </c>
      <c r="E86" s="16">
        <v>1.4927751927520541</v>
      </c>
    </row>
    <row r="87" spans="4:5">
      <c r="D87" s="16">
        <v>-0.71021524112517709</v>
      </c>
      <c r="E87" s="16">
        <v>-0.8325092421117225</v>
      </c>
    </row>
    <row r="88" spans="4:5">
      <c r="D88" s="16">
        <v>0.62613434356123943</v>
      </c>
      <c r="E88" s="16">
        <v>0.71768038113079524</v>
      </c>
    </row>
    <row r="89" spans="4:5">
      <c r="D89" s="16">
        <v>-0.13059373451420131</v>
      </c>
      <c r="E89" s="16">
        <v>-5.7414430490463644E-2</v>
      </c>
    </row>
    <row r="90" spans="4:5">
      <c r="D90" s="16">
        <v>-1.1127301762716881</v>
      </c>
      <c r="E90" s="16">
        <v>-1.0908741793188088</v>
      </c>
    </row>
    <row r="91" spans="4:5">
      <c r="D91" s="16">
        <v>2.0429869152769582</v>
      </c>
      <c r="E91" s="16">
        <v>2.0095050671662267</v>
      </c>
    </row>
    <row r="92" spans="4:5">
      <c r="D92" s="16">
        <v>-0.58141046187829359</v>
      </c>
      <c r="E92" s="16">
        <v>-0.57414430490463619</v>
      </c>
    </row>
    <row r="93" spans="4:5">
      <c r="D93" s="16">
        <v>0.32022299284989103</v>
      </c>
      <c r="E93" s="16">
        <v>0.20095050671662265</v>
      </c>
    </row>
    <row r="94" spans="4:5">
      <c r="D94" s="16">
        <v>-0.35600209819624745</v>
      </c>
      <c r="E94" s="16">
        <v>-0.31577936769754994</v>
      </c>
    </row>
    <row r="95" spans="4:5">
      <c r="D95" s="16">
        <v>-1.0644283840541069</v>
      </c>
      <c r="E95" s="16">
        <v>-1.0908741793188088</v>
      </c>
    </row>
    <row r="96" spans="4:5">
      <c r="D96" s="16">
        <v>1.8658803438124933</v>
      </c>
      <c r="E96" s="16">
        <v>1.7511401299591405</v>
      </c>
    </row>
    <row r="97" spans="4:5">
      <c r="D97" s="16">
        <v>-0.69411464371931675</v>
      </c>
      <c r="E97" s="16">
        <v>-0.8325092421117225</v>
      </c>
    </row>
    <row r="98" spans="4:5">
      <c r="D98" s="16">
        <v>0.65833553837296022</v>
      </c>
      <c r="E98" s="16">
        <v>0.97604531833788155</v>
      </c>
    </row>
    <row r="99" spans="4:5">
      <c r="D99" s="16">
        <v>-0.11449313710834086</v>
      </c>
      <c r="E99" s="16">
        <v>-5.7414430490463644E-2</v>
      </c>
    </row>
    <row r="100" spans="4:5">
      <c r="D100" s="16">
        <v>-1.1771325658951299</v>
      </c>
      <c r="E100" s="16">
        <v>-1.220056647922352</v>
      </c>
    </row>
    <row r="101" spans="4:5">
      <c r="D101" s="16">
        <v>2.2522946815531437</v>
      </c>
      <c r="E101" s="16">
        <v>2.2678700043733131</v>
      </c>
    </row>
    <row r="102" spans="4:5">
      <c r="D102" s="16">
        <v>-0.54920926706657269</v>
      </c>
      <c r="E102" s="16">
        <v>-0.57414430490463619</v>
      </c>
    </row>
    <row r="103" spans="4:5">
      <c r="D103" s="16">
        <v>0.41682657728505368</v>
      </c>
      <c r="E103" s="16">
        <v>0.45931544392370893</v>
      </c>
    </row>
    <row r="104" spans="4:5">
      <c r="D104" s="16">
        <v>-0.38820329300796835</v>
      </c>
      <c r="E104" s="16">
        <v>-0.31577936769754994</v>
      </c>
    </row>
    <row r="105" spans="4:5">
      <c r="D105" s="16">
        <v>-1.1288307736775485</v>
      </c>
      <c r="E105" s="16">
        <v>-1.0908741793188088</v>
      </c>
    </row>
    <row r="106" spans="4:5">
      <c r="D106" s="16">
        <v>1.7531761619714701</v>
      </c>
      <c r="E106" s="16">
        <v>1.4927751927520541</v>
      </c>
    </row>
    <row r="107" spans="4:5">
      <c r="D107" s="16">
        <v>-0.6780140463134563</v>
      </c>
      <c r="E107" s="16">
        <v>-0.8325092421117225</v>
      </c>
    </row>
    <row r="108" spans="4:5">
      <c r="D108" s="16">
        <v>0.57783255134365807</v>
      </c>
      <c r="E108" s="16">
        <v>0.71768038113079524</v>
      </c>
    </row>
    <row r="109" spans="4:5">
      <c r="D109" s="16">
        <v>-0.16279492932592218</v>
      </c>
      <c r="E109" s="16">
        <v>-5.7414430490463644E-2</v>
      </c>
    </row>
    <row r="110" spans="4:5">
      <c r="D110" s="16">
        <v>-1.0483277866482463</v>
      </c>
      <c r="E110" s="16">
        <v>-1.0908741793188088</v>
      </c>
    </row>
    <row r="111" spans="4:5">
      <c r="D111" s="16">
        <v>2.413300655611748</v>
      </c>
      <c r="E111" s="16">
        <v>2.5262349415803995</v>
      </c>
    </row>
  </sheetData>
  <mergeCells count="1">
    <mergeCell ref="G12:H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9F70-2937-4C5D-9F0E-8D30331FDC89}">
  <dimension ref="C20:V29"/>
  <sheetViews>
    <sheetView tabSelected="1" workbookViewId="0">
      <selection activeCell="W20" sqref="W20"/>
    </sheetView>
  </sheetViews>
  <sheetFormatPr defaultColWidth="8.85546875" defaultRowHeight="12.75"/>
  <sheetData>
    <row r="20" spans="3:22">
      <c r="C20" s="24" t="s">
        <v>64</v>
      </c>
      <c r="D20" s="24"/>
      <c r="E20" s="24"/>
      <c r="F20" s="24"/>
      <c r="G20" s="24"/>
      <c r="H20" s="24"/>
    </row>
    <row r="22" spans="3:22">
      <c r="C22" s="24" t="s">
        <v>65</v>
      </c>
      <c r="D22" s="24"/>
      <c r="E22" s="24"/>
      <c r="F22" s="24"/>
      <c r="G22" s="24"/>
      <c r="H22" s="24"/>
      <c r="I22" s="24"/>
      <c r="J22" s="24"/>
    </row>
    <row r="24" spans="3:22">
      <c r="C24" s="24" t="s">
        <v>66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6" spans="3:22">
      <c r="C26" s="24" t="s">
        <v>68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8" spans="3:22">
      <c r="C28" s="25" t="s">
        <v>67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3:22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</sheetData>
  <mergeCells count="5">
    <mergeCell ref="C20:H20"/>
    <mergeCell ref="C22:J22"/>
    <mergeCell ref="C24:M24"/>
    <mergeCell ref="C28:T29"/>
    <mergeCell ref="C26:V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ANALIZA DANYCH - MINI-PROJEKTY</vt:lpstr>
      <vt:lpstr>mini-projekt_opis</vt:lpstr>
      <vt:lpstr>zbieranie danych</vt:lpstr>
      <vt:lpstr>czyszczenie danych</vt:lpstr>
      <vt:lpstr>transformacja danych</vt:lpstr>
      <vt:lpstr>wizualizacja danych</vt:lpstr>
      <vt:lpstr>statystyki_opisowe</vt:lpstr>
      <vt:lpstr>analiza_korelacji</vt:lpstr>
      <vt:lpstr>KONCOWY RAPORT</vt:lpstr>
    </vt:vector>
  </TitlesOfParts>
  <Company>tom tom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borson borson</cp:lastModifiedBy>
  <cp:lastPrinted>2007-03-06T23:01:41Z</cp:lastPrinted>
  <dcterms:created xsi:type="dcterms:W3CDTF">2007-03-05T16:47:11Z</dcterms:created>
  <dcterms:modified xsi:type="dcterms:W3CDTF">2026-03-26T17:03:52Z</dcterms:modified>
</cp:coreProperties>
</file>